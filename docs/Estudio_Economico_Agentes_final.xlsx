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ex_\Desktop\Proyecto MItumi\mitumi\"/>
    </mc:Choice>
  </mc:AlternateContent>
  <xr:revisionPtr revIDLastSave="0" documentId="8_{4AF31A31-F8B3-4E12-A553-0806BAC2C646}" xr6:coauthVersionLast="47" xr6:coauthVersionMax="47" xr10:uidLastSave="{00000000-0000-0000-0000-000000000000}"/>
  <bookViews>
    <workbookView xWindow="-108" yWindow="-108" windowWidth="23256" windowHeight="12456" tabRatio="545" firstSheet="1" activeTab="4" xr2:uid="{00000000-000D-0000-FFFF-FFFF00000000}"/>
  </bookViews>
  <sheets>
    <sheet name="Configuración" sheetId="1" r:id="rId1"/>
    <sheet name="LLMs" sheetId="2" r:id="rId2"/>
    <sheet name="Agentes (2)" sheetId="3" state="hidden" r:id="rId3"/>
    <sheet name="Agentes" sheetId="4" r:id="rId4"/>
    <sheet name="Histórico" sheetId="6" r:id="rId5"/>
    <sheet name="Comparador Agentes" sheetId="7" r:id="rId6"/>
    <sheet name="Dashboard" sheetId="8" r:id="rId7"/>
    <sheet name="ROI_Ahorro" sheetId="11" r:id="rId8"/>
  </sheets>
  <externalReferences>
    <externalReference r:id="rId9"/>
  </externalReferences>
  <calcPr calcId="191029" iterateDelta="1E-4"/>
</workbook>
</file>

<file path=xl/calcChain.xml><?xml version="1.0" encoding="utf-8"?>
<calcChain xmlns="http://schemas.openxmlformats.org/spreadsheetml/2006/main">
  <c r="D7" i="11" l="1"/>
  <c r="F7" i="11" s="1"/>
  <c r="D6" i="11"/>
  <c r="F6" i="11" s="1"/>
  <c r="D5" i="11"/>
  <c r="F5" i="11" s="1"/>
  <c r="D4" i="11"/>
  <c r="F4" i="11" s="1"/>
  <c r="D3" i="11"/>
  <c r="F3" i="11" s="1"/>
  <c r="D2" i="11"/>
  <c r="F2" i="11" s="1"/>
  <c r="E5" i="8"/>
  <c r="J8" i="7"/>
  <c r="I8" i="7"/>
  <c r="H8" i="7"/>
  <c r="G8" i="7"/>
  <c r="A7" i="7"/>
  <c r="A6" i="7"/>
  <c r="A5" i="7"/>
  <c r="A4" i="7"/>
  <c r="A3" i="7"/>
  <c r="A2" i="7"/>
  <c r="K16" i="6"/>
  <c r="K15" i="6"/>
  <c r="K14" i="6"/>
  <c r="K13" i="6"/>
  <c r="I13" i="6"/>
  <c r="K12" i="6"/>
  <c r="I12" i="6"/>
  <c r="K11" i="6"/>
  <c r="I11" i="6"/>
  <c r="K10" i="6"/>
  <c r="I10" i="6"/>
  <c r="K9" i="6"/>
  <c r="I9" i="6"/>
  <c r="K8" i="6"/>
  <c r="I8" i="6"/>
  <c r="K7" i="6"/>
  <c r="I7" i="6"/>
  <c r="K6" i="6"/>
  <c r="I6" i="6"/>
  <c r="K5" i="6"/>
  <c r="I5" i="6"/>
  <c r="S4" i="6"/>
  <c r="R4" i="6"/>
  <c r="Q4" i="6"/>
  <c r="P4" i="6"/>
  <c r="O4" i="6"/>
  <c r="N4" i="6"/>
  <c r="M4" i="6"/>
  <c r="L4" i="6"/>
  <c r="K4" i="6"/>
  <c r="I4" i="6"/>
  <c r="I3" i="6"/>
  <c r="I2" i="6"/>
  <c r="A11" i="8"/>
  <c r="B17" i="3"/>
  <c r="B15" i="3"/>
  <c r="B12" i="3"/>
  <c r="L7" i="3"/>
  <c r="K7" i="3"/>
  <c r="D7" i="3"/>
  <c r="E7" i="3" s="1"/>
  <c r="L6" i="3"/>
  <c r="K6" i="3"/>
  <c r="D6" i="3"/>
  <c r="E6" i="3" s="1"/>
  <c r="L5" i="3"/>
  <c r="K5" i="3"/>
  <c r="D5" i="3"/>
  <c r="E5" i="3" s="1"/>
  <c r="L4" i="3"/>
  <c r="K4" i="3"/>
  <c r="D4" i="3"/>
  <c r="E4" i="3" s="1"/>
  <c r="L3" i="3"/>
  <c r="K3" i="3"/>
  <c r="D3" i="3"/>
  <c r="E3" i="3" s="1"/>
  <c r="L2" i="3"/>
  <c r="K2" i="3"/>
  <c r="D2" i="3"/>
  <c r="E2" i="3" s="1"/>
  <c r="B17" i="4"/>
  <c r="B15" i="4"/>
  <c r="B12" i="4"/>
  <c r="L7" i="4"/>
  <c r="K7" i="4"/>
  <c r="D7" i="4"/>
  <c r="E7" i="4" s="1"/>
  <c r="L6" i="4"/>
  <c r="K6" i="4"/>
  <c r="D6" i="4"/>
  <c r="E6" i="4" s="1"/>
  <c r="L5" i="4"/>
  <c r="K5" i="4"/>
  <c r="D5" i="4"/>
  <c r="E5" i="4" s="1"/>
  <c r="L4" i="4"/>
  <c r="K4" i="4"/>
  <c r="D4" i="4"/>
  <c r="E4" i="4" s="1"/>
  <c r="L3" i="4"/>
  <c r="K3" i="4"/>
  <c r="D3" i="4"/>
  <c r="E3" i="4" s="1"/>
  <c r="L2" i="4"/>
  <c r="K2" i="4"/>
  <c r="D2" i="4"/>
  <c r="E2" i="4" s="1"/>
  <c r="G7" i="11" l="1"/>
  <c r="J7" i="11" s="1"/>
  <c r="I7" i="11"/>
  <c r="I6" i="11"/>
  <c r="G6" i="11"/>
  <c r="J6" i="11" s="1"/>
  <c r="G5" i="11"/>
  <c r="J5" i="11" s="1"/>
  <c r="I5" i="11"/>
  <c r="I4" i="11"/>
  <c r="G4" i="11"/>
  <c r="J4" i="11" s="1"/>
  <c r="I3" i="11"/>
  <c r="G3" i="11"/>
  <c r="J3" i="11" s="1"/>
  <c r="G2" i="11"/>
  <c r="F9" i="11"/>
  <c r="B13" i="11" s="1"/>
  <c r="B15" i="11" s="1"/>
  <c r="I2" i="11"/>
  <c r="I9" i="11" s="1"/>
  <c r="S15" i="6"/>
  <c r="S14" i="6"/>
  <c r="S7" i="6"/>
  <c r="S10" i="6"/>
  <c r="S8" i="6"/>
  <c r="S6" i="6"/>
  <c r="S16" i="6"/>
  <c r="S11" i="6"/>
  <c r="S13" i="6"/>
  <c r="S5" i="6"/>
  <c r="S9" i="6"/>
  <c r="S12" i="6"/>
  <c r="R6" i="6"/>
  <c r="R8" i="6"/>
  <c r="R16" i="6"/>
  <c r="R7" i="6"/>
  <c r="R10" i="6"/>
  <c r="R15" i="6"/>
  <c r="R11" i="6"/>
  <c r="R12" i="6"/>
  <c r="R9" i="6"/>
  <c r="R13" i="6"/>
  <c r="R14" i="6"/>
  <c r="R5" i="6"/>
  <c r="Q8" i="6"/>
  <c r="Q16" i="6"/>
  <c r="Q11" i="6"/>
  <c r="Q7" i="6"/>
  <c r="Q15" i="6"/>
  <c r="Q13" i="6"/>
  <c r="Q14" i="6"/>
  <c r="Q12" i="6"/>
  <c r="Q9" i="6"/>
  <c r="Q10" i="6"/>
  <c r="Q6" i="6"/>
  <c r="Q5" i="6"/>
  <c r="P16" i="6"/>
  <c r="P12" i="6"/>
  <c r="P10" i="6"/>
  <c r="P8" i="6"/>
  <c r="P11" i="6"/>
  <c r="P7" i="6"/>
  <c r="P15" i="6"/>
  <c r="P6" i="6"/>
  <c r="P9" i="6"/>
  <c r="P14" i="6"/>
  <c r="P13" i="6"/>
  <c r="P5" i="6"/>
  <c r="O10" i="6"/>
  <c r="O15" i="6"/>
  <c r="O9" i="6"/>
  <c r="O16" i="6"/>
  <c r="O13" i="6"/>
  <c r="O7" i="6"/>
  <c r="O8" i="6"/>
  <c r="O12" i="6"/>
  <c r="O14" i="6"/>
  <c r="O6" i="6"/>
  <c r="O11" i="6"/>
  <c r="O5" i="6"/>
  <c r="N11" i="6"/>
  <c r="N10" i="6"/>
  <c r="N8" i="6"/>
  <c r="N16" i="6"/>
  <c r="N7" i="6"/>
  <c r="N9" i="6"/>
  <c r="N6" i="6"/>
  <c r="N15" i="6"/>
  <c r="N14" i="6"/>
  <c r="N12" i="6"/>
  <c r="N5" i="6"/>
  <c r="N13" i="6"/>
  <c r="M11" i="6"/>
  <c r="M14" i="6"/>
  <c r="M6" i="6"/>
  <c r="M10" i="6"/>
  <c r="M9" i="6"/>
  <c r="M7" i="6"/>
  <c r="M16" i="6"/>
  <c r="M8" i="6"/>
  <c r="M15" i="6"/>
  <c r="M5" i="6"/>
  <c r="M12" i="6"/>
  <c r="M13" i="6"/>
  <c r="L12" i="6"/>
  <c r="L11" i="6"/>
  <c r="L14" i="6"/>
  <c r="L8" i="6"/>
  <c r="L6" i="6"/>
  <c r="L15" i="6"/>
  <c r="L16" i="6"/>
  <c r="L10" i="6"/>
  <c r="L9" i="6"/>
  <c r="L5" i="6"/>
  <c r="L7" i="6"/>
  <c r="L13" i="6"/>
  <c r="G8" i="8"/>
  <c r="C48" i="8"/>
  <c r="F7" i="3"/>
  <c r="I7" i="3"/>
  <c r="M7" i="3" s="1"/>
  <c r="J7" i="3"/>
  <c r="N7" i="3" s="1"/>
  <c r="F6" i="3"/>
  <c r="I6" i="3"/>
  <c r="M6" i="3" s="1"/>
  <c r="J6" i="3"/>
  <c r="N6" i="3" s="1"/>
  <c r="F5" i="3"/>
  <c r="I5" i="3"/>
  <c r="M5" i="3" s="1"/>
  <c r="J5" i="3"/>
  <c r="N5" i="3" s="1"/>
  <c r="I4" i="3"/>
  <c r="M4" i="3" s="1"/>
  <c r="J4" i="3"/>
  <c r="N4" i="3" s="1"/>
  <c r="F4" i="3"/>
  <c r="F3" i="3"/>
  <c r="I3" i="3"/>
  <c r="M3" i="3" s="1"/>
  <c r="J3" i="3"/>
  <c r="N3" i="3" s="1"/>
  <c r="F2" i="3"/>
  <c r="J2" i="3"/>
  <c r="E9" i="3"/>
  <c r="I2" i="3"/>
  <c r="F7" i="4"/>
  <c r="J7" i="4"/>
  <c r="N7" i="4" s="1"/>
  <c r="I7" i="4"/>
  <c r="M7" i="4" s="1"/>
  <c r="F6" i="4"/>
  <c r="I6" i="4"/>
  <c r="M6" i="4" s="1"/>
  <c r="J6" i="4"/>
  <c r="N6" i="4" s="1"/>
  <c r="F5" i="4"/>
  <c r="I5" i="4"/>
  <c r="M5" i="4" s="1"/>
  <c r="J5" i="4"/>
  <c r="N5" i="4" s="1"/>
  <c r="F4" i="4"/>
  <c r="I4" i="4"/>
  <c r="M4" i="4" s="1"/>
  <c r="J4" i="4"/>
  <c r="N4" i="4" s="1"/>
  <c r="F3" i="4"/>
  <c r="I3" i="4"/>
  <c r="M3" i="4" s="1"/>
  <c r="J3" i="4"/>
  <c r="N3" i="4" s="1"/>
  <c r="F2" i="4"/>
  <c r="F9" i="4" s="1"/>
  <c r="I2" i="4"/>
  <c r="J2" i="4"/>
  <c r="E9" i="4"/>
  <c r="J2" i="11" l="1"/>
  <c r="J9" i="11" s="1"/>
  <c r="B16" i="11" s="1"/>
  <c r="G9" i="11"/>
  <c r="O6" i="3"/>
  <c r="P6" i="3" s="1"/>
  <c r="C11" i="8"/>
  <c r="C49" i="8"/>
  <c r="O6" i="4"/>
  <c r="O4" i="4"/>
  <c r="O7" i="4"/>
  <c r="J9" i="3"/>
  <c r="N2" i="3"/>
  <c r="N9" i="3" s="1"/>
  <c r="M2" i="3"/>
  <c r="I9" i="3"/>
  <c r="B7" i="7"/>
  <c r="G7" i="7" s="1"/>
  <c r="D7" i="7"/>
  <c r="I7" i="7" s="1"/>
  <c r="M2" i="4"/>
  <c r="I9" i="4"/>
  <c r="N2" i="4"/>
  <c r="N9" i="4" s="1"/>
  <c r="J9" i="4"/>
  <c r="O7" i="3"/>
  <c r="P7" i="3" s="1"/>
  <c r="O5" i="3"/>
  <c r="P5" i="3" s="1"/>
  <c r="O4" i="3"/>
  <c r="P4" i="3" s="1"/>
  <c r="O3" i="3"/>
  <c r="P3" i="3" s="1"/>
  <c r="F9" i="3"/>
  <c r="O5" i="4"/>
  <c r="O3" i="4"/>
  <c r="P6" i="4" l="1"/>
  <c r="C6" i="7" s="1"/>
  <c r="H6" i="7" s="1"/>
  <c r="B6" i="7"/>
  <c r="G6" i="7" s="1"/>
  <c r="D6" i="7"/>
  <c r="I6" i="7" s="1"/>
  <c r="E6" i="7"/>
  <c r="J6" i="7" s="1"/>
  <c r="D4" i="7"/>
  <c r="I4" i="7" s="1"/>
  <c r="B4" i="7"/>
  <c r="G4" i="7" s="1"/>
  <c r="E4" i="7"/>
  <c r="J4" i="7" s="1"/>
  <c r="P4" i="4"/>
  <c r="C4" i="7" s="1"/>
  <c r="H4" i="7" s="1"/>
  <c r="E7" i="7"/>
  <c r="J7" i="7" s="1"/>
  <c r="P7" i="4"/>
  <c r="C7" i="7" s="1"/>
  <c r="H7" i="7" s="1"/>
  <c r="M9" i="3"/>
  <c r="O2" i="3"/>
  <c r="O2" i="4"/>
  <c r="M9" i="4"/>
  <c r="E5" i="7"/>
  <c r="J5" i="7" s="1"/>
  <c r="D5" i="7"/>
  <c r="I5" i="7" s="1"/>
  <c r="B5" i="7"/>
  <c r="G5" i="7" s="1"/>
  <c r="P5" i="4"/>
  <c r="C5" i="7" s="1"/>
  <c r="H5" i="7" s="1"/>
  <c r="E3" i="7"/>
  <c r="J3" i="7" s="1"/>
  <c r="D3" i="7"/>
  <c r="I3" i="7" s="1"/>
  <c r="B3" i="7"/>
  <c r="G3" i="7" s="1"/>
  <c r="P3" i="4"/>
  <c r="C3" i="7" s="1"/>
  <c r="H3" i="7" s="1"/>
  <c r="P2" i="3" l="1"/>
  <c r="P9" i="3" s="1"/>
  <c r="O9" i="3"/>
  <c r="B13" i="3" s="1"/>
  <c r="P2" i="4"/>
  <c r="O9" i="4"/>
  <c r="B2" i="7"/>
  <c r="G2" i="7" s="1"/>
  <c r="D2" i="7"/>
  <c r="I2" i="7" s="1"/>
  <c r="E2" i="7"/>
  <c r="J2" i="7" s="1"/>
  <c r="C8" i="8"/>
  <c r="A8" i="8"/>
  <c r="B14" i="3" l="1"/>
  <c r="B16" i="3"/>
  <c r="B18" i="3"/>
  <c r="C2" i="7"/>
  <c r="H2" i="7" s="1"/>
  <c r="P9" i="4"/>
  <c r="B13" i="4"/>
  <c r="G5" i="8"/>
  <c r="E8" i="8"/>
  <c r="B48" i="8"/>
  <c r="A5" i="8"/>
  <c r="B12" i="7"/>
  <c r="C12" i="7"/>
  <c r="B13" i="7"/>
  <c r="C13" i="7"/>
  <c r="B14" i="7"/>
  <c r="C14" i="7"/>
  <c r="B15" i="7"/>
  <c r="C15" i="7"/>
  <c r="B16" i="7"/>
  <c r="C16" i="7"/>
  <c r="B17" i="7"/>
  <c r="C17" i="7"/>
  <c r="B18" i="7"/>
  <c r="C18" i="7"/>
  <c r="B33" i="7"/>
  <c r="C33" i="7"/>
  <c r="C34" i="7"/>
  <c r="B36" i="7"/>
  <c r="C36" i="7"/>
  <c r="B38" i="7"/>
  <c r="C38" i="7"/>
  <c r="B32" i="7"/>
  <c r="C32" i="7"/>
  <c r="B34" i="7"/>
  <c r="B35" i="7"/>
  <c r="C35" i="7"/>
  <c r="B37" i="7"/>
  <c r="C37" i="7"/>
  <c r="B43" i="7"/>
  <c r="B44" i="7"/>
  <c r="B45" i="7"/>
  <c r="C45" i="7"/>
  <c r="C46" i="7"/>
  <c r="C47" i="7"/>
  <c r="C48" i="7"/>
  <c r="B42" i="7"/>
  <c r="C42" i="7"/>
  <c r="C43" i="7"/>
  <c r="C44" i="7"/>
  <c r="B46" i="7"/>
  <c r="B47" i="7"/>
  <c r="B48" i="7"/>
  <c r="B22" i="7" l="1"/>
  <c r="C22" i="7"/>
  <c r="B23" i="7"/>
  <c r="C23" i="7"/>
  <c r="B24" i="7"/>
  <c r="C24" i="7"/>
  <c r="C25" i="7"/>
  <c r="B27" i="7"/>
  <c r="B28" i="7"/>
  <c r="C28" i="7"/>
  <c r="B25" i="7"/>
  <c r="B26" i="7"/>
  <c r="C26" i="7"/>
  <c r="C27" i="7"/>
  <c r="C5" i="8"/>
  <c r="E11" i="8"/>
  <c r="B49" i="8"/>
  <c r="B16" i="4"/>
  <c r="B14" i="4"/>
  <c r="B18" i="4"/>
  <c r="G11" i="8" s="1"/>
</calcChain>
</file>

<file path=xl/sharedStrings.xml><?xml version="1.0" encoding="utf-8"?>
<sst xmlns="http://schemas.openxmlformats.org/spreadsheetml/2006/main" count="191" uniqueCount="129">
  <si>
    <t>Agente</t>
  </si>
  <si>
    <t>LLM</t>
  </si>
  <si>
    <t>Consultas/día</t>
  </si>
  <si>
    <t>Días/mes</t>
  </si>
  <si>
    <t>Consultas/mes</t>
  </si>
  <si>
    <t>Consultas/año</t>
  </si>
  <si>
    <t>Input tok/consulta</t>
  </si>
  <si>
    <t>Output tok/consulta</t>
  </si>
  <si>
    <t>Input tok/mes</t>
  </si>
  <si>
    <t>Output tok/mes</t>
  </si>
  <si>
    <t>€/Entrada</t>
  </si>
  <si>
    <t>€/Salida</t>
  </si>
  <si>
    <t>Coste Entrada</t>
  </si>
  <si>
    <t>Coste Salida</t>
  </si>
  <si>
    <t>TOTAL Mes</t>
  </si>
  <si>
    <t>TOTAL Año</t>
  </si>
  <si>
    <t>Garum (Gestor Correos)</t>
  </si>
  <si>
    <t>Grok 4</t>
  </si>
  <si>
    <t>Hermes (Telegram)</t>
  </si>
  <si>
    <t>Lumen (consultas)</t>
  </si>
  <si>
    <t>Operis (autorellenado)</t>
  </si>
  <si>
    <t>Vigil (concursos)</t>
  </si>
  <si>
    <t>Jano (viajes)</t>
  </si>
  <si>
    <t>TOTAL</t>
  </si>
  <si>
    <t>RESUMEN FINANCIERO</t>
  </si>
  <si>
    <t>Número de agentes</t>
  </si>
  <si>
    <t>Coste IA mensual total</t>
  </si>
  <si>
    <t>Coste IA anual total</t>
  </si>
  <si>
    <t>Margen de seguridad (%)</t>
  </si>
  <si>
    <t>Coste anual + margen de seguridad</t>
  </si>
  <si>
    <t>IVA (%)</t>
  </si>
  <si>
    <t>Coste anual + margen + IVA</t>
  </si>
  <si>
    <t>Parámetro</t>
  </si>
  <si>
    <t>Valor</t>
  </si>
  <si>
    <t>Días laborables/mes</t>
  </si>
  <si>
    <t>Horas/día</t>
  </si>
  <si>
    <t>IVA %</t>
  </si>
  <si>
    <t>Margen %</t>
  </si>
  <si>
    <t>Modelo</t>
  </si>
  <si>
    <t>Proveedor</t>
  </si>
  <si>
    <t>€/1M Entrada</t>
  </si>
  <si>
    <t>€/1M Salida</t>
  </si>
  <si>
    <t>GPT-5 mini</t>
  </si>
  <si>
    <t>OpenAI</t>
  </si>
  <si>
    <t>GPT-5</t>
  </si>
  <si>
    <t>Claude Sonnet 4</t>
  </si>
  <si>
    <t>Anthropic</t>
  </si>
  <si>
    <t>Gemini 2.5 Flash</t>
  </si>
  <si>
    <t>Google</t>
  </si>
  <si>
    <t>Gemini 2.5 Pro</t>
  </si>
  <si>
    <t>Mistral Large</t>
  </si>
  <si>
    <t>Mistral</t>
  </si>
  <si>
    <t>GPT-4.1</t>
  </si>
  <si>
    <t>xAI</t>
  </si>
  <si>
    <t>Concepto</t>
  </si>
  <si>
    <t>Mes</t>
  </si>
  <si>
    <t>Garum</t>
  </si>
  <si>
    <t>Hermes</t>
  </si>
  <si>
    <t>Lumen</t>
  </si>
  <si>
    <t>Operis</t>
  </si>
  <si>
    <t>Vigil</t>
  </si>
  <si>
    <t>Jano</t>
  </si>
  <si>
    <t>Clasificador</t>
  </si>
  <si>
    <t>Filtro de agente:</t>
  </si>
  <si>
    <t>Ene</t>
  </si>
  <si>
    <t>Feb</t>
  </si>
  <si>
    <t>TABLA AUXILIAR (alimenta el gráfico según el filtro)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</si>
  <si>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</si>
  <si>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</si>
  <si>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</si>
  <si>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</si>
  <si>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</si>
  <si>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</si>
  <si>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</si>
  <si>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</si>
  <si>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</si>
  <si>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</si>
  <si>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Coste mensual</t>
  </si>
  <si>
    <t>Coste anual</t>
  </si>
  <si>
    <t>Coste por consulta</t>
  </si>
  <si>
    <t>Coste por millón tokens</t>
  </si>
  <si>
    <t>Aux mensual</t>
  </si>
  <si>
    <t>Aux anual</t>
  </si>
  <si>
    <t>Aux consulta</t>
  </si>
  <si>
    <t>Aux tokens</t>
  </si>
  <si>
    <t>RANKING POR COSTE MENSUAL</t>
  </si>
  <si>
    <t>Posición</t>
  </si>
  <si>
    <t>RANKING POR COSTE ANUAL</t>
  </si>
  <si>
    <t>RANKING POR COSTE POR CONSULTA</t>
  </si>
  <si>
    <t>RANKING POR COSTE POR MILLÓN DE TOKENS</t>
  </si>
  <si>
    <t>DASHBOARD EJECUTIVO — ESTUDIO ECONÓMICO AGENTES IA</t>
  </si>
  <si>
    <t>COSTE TOTAL MENSUAL</t>
  </si>
  <si>
    <t>COSTE TOTAL ANUAL</t>
  </si>
  <si>
    <t>NÚMERO DE AGENTES</t>
  </si>
  <si>
    <t>COSTE MEDIO / AGENTE</t>
  </si>
  <si>
    <t>AGENTE MÁS CARO</t>
  </si>
  <si>
    <t>AGENTE MÁS ECONÓMICO</t>
  </si>
  <si>
    <t>COSTE IA (MENSUAL)</t>
  </si>
  <si>
    <t>COSTE INFRAESTRUCTURA (MENSUAL)</t>
  </si>
  <si>
    <t>DESPLIEGUE INICIAL</t>
  </si>
  <si>
    <t>DESPLIEGUE ANUAL</t>
  </si>
  <si>
    <t>COSTE TOTAL PRIMER AÑO</t>
  </si>
  <si>
    <t>COSTE ANUAL + MARGEN + IVA</t>
  </si>
  <si>
    <t>TABLA DE APOYO — Comparativa IA vs Infraestructura (fuente del Gráfico 5)</t>
  </si>
  <si>
    <t>Coste IA</t>
  </si>
  <si>
    <t>Coste Infraestructura</t>
  </si>
  <si>
    <t>Mensual</t>
  </si>
  <si>
    <t>Anual</t>
  </si>
  <si>
    <t>Todos</t>
  </si>
  <si>
    <t>Tiempo manual (min)</t>
  </si>
  <si>
    <t>Tiempo IA (min)</t>
  </si>
  <si>
    <t>Ahorro por tarea (min)</t>
  </si>
  <si>
    <t>Horas ahorradas/mes</t>
  </si>
  <si>
    <t>Horas ahorradas/año</t>
  </si>
  <si>
    <t>Coste empleado €/h</t>
  </si>
  <si>
    <t>Ahorro económico mensual (€)</t>
  </si>
  <si>
    <t>Ahorro económico anual (€)</t>
  </si>
  <si>
    <t>Garum (Correo)</t>
  </si>
  <si>
    <t>Lumen (Consultas)</t>
  </si>
  <si>
    <t>Operis (Autorrellenado)</t>
  </si>
  <si>
    <t>Vigil (Concursos)</t>
  </si>
  <si>
    <t>Jano (Viajes)</t>
  </si>
  <si>
    <t>TOTALES</t>
  </si>
  <si>
    <t>KPIs</t>
  </si>
  <si>
    <t>Empleados equivalentes (160 h/mes)</t>
  </si>
  <si>
    <t>Coste anual de 1 empleado (€)</t>
  </si>
  <si>
    <t>Valor anual equivalente (€)</t>
  </si>
  <si>
    <t>ROI estimado (€)</t>
  </si>
  <si>
    <t xml:space="preserve">alojamiento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</si>
</sst>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164" formatCode="#,##0.0000&quot; €&quot;"/>
    <numFmt numFmtId="165" formatCode="#,##0.00&quot; €&quot;"/>
    <numFmt numFmtId="166" formatCode="0.0%"/>
    <numFmt numFmtId="167" formatCode="#,##0&quot; €&quot;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b/>
      <sz val="11"/>
      <color rgb="FF1F4E78"/>
      <name val="Cambria"/>
      <charset val="1"/>
    </font>
    <font>
      <b/>
      <sz val="12"/>
      <color rgb="FF1F4E78"/>
      <name val="Cambria"/>
      <charset val="1"/>
    </font>
    <font>
      <b/>
      <sz val="18"/>
      <color rgb="FFFFFFFF"/>
      <name val="Cambria"/>
      <charset val="1"/>
    </font>
    <font>
      <b/>
      <sz val="10"/>
      <color rgb="FFFFFFFF"/>
      <name val="Cambria"/>
      <charset val="1"/>
    </font>
    <font>
      <b/>
      <sz val="14"/>
      <color rgb="FF1F4E78"/>
      <name val="Cambria"/>
      <charset val="1"/>
    </font>
    <font>
      <b/>
      <sz val="11"/>
      <color rgb="FFFFFFFF"/>
      <name val="Cambria"/>
      <family val="1"/>
    </font>
    <font>
      <b/>
      <sz val="11"/>
      <name val="Cambria"/>
      <family val="1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" fillId="0" borderId="0" xfId="0" applyFont="1"/>
    <xf numFmtId="166" fontId="0" fillId="0" borderId="0" xfId="0" applyNumberFormat="1"/>
    <xf numFmtId="0" fontId="3" fillId="3" borderId="0" xfId="0" applyFont="1" applyFill="1"/>
    <xf numFmtId="167" fontId="0" fillId="0" borderId="0" xfId="0" applyNumberFormat="1"/>
    <xf numFmtId="8" fontId="0" fillId="0" borderId="0" xfId="0" applyNumberFormat="1"/>
    <xf numFmtId="0" fontId="8" fillId="2" borderId="0" xfId="0" applyFont="1" applyFill="1"/>
    <xf numFmtId="0" fontId="9" fillId="0" borderId="0" xfId="0" applyFont="1"/>
    <xf numFmtId="0" fontId="10" fillId="4" borderId="6" xfId="0" applyFont="1" applyFill="1" applyBorder="1"/>
    <xf numFmtId="0" fontId="4" fillId="0" borderId="0" xfId="0" applyFont="1"/>
    <xf numFmtId="0" fontId="0" fillId="0" borderId="0" xfId="0"/>
    <xf numFmtId="0" fontId="8" fillId="2" borderId="0" xfId="0" applyFont="1" applyFill="1"/>
    <xf numFmtId="0" fontId="1" fillId="2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5" fillId="2" borderId="0" xfId="0" applyFont="1" applyFill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7" fillId="3" borderId="1" xfId="0" applyFont="1" applyFill="1" applyBorder="1" applyAlignment="1">
      <alignment horizontal="center" vertical="center" wrapText="1"/>
    </xf>
    <xf numFmtId="0" fontId="3" fillId="0" borderId="0" xfId="0" applyFont="1"/>
    <xf numFmtId="1" fontId="7" fillId="3" borderId="1" xfId="0" applyNumberFormat="1" applyFont="1" applyFill="1" applyBorder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4A7EBB"/>
      <rgbColor rgb="FFBFBFBF"/>
      <rgbColor rgb="FF878787"/>
      <rgbColor rgb="FF93A9CE"/>
      <rgbColor rgb="FFAA433F"/>
      <rgbColor rgb="FFFFF2CC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CCFFCC"/>
      <rgbColor rgb="FFFFFF99"/>
      <rgbColor rgb="FF99CCFF"/>
      <rgbColor rgb="FFCC8F8E"/>
      <rgbColor rgb="FFCC99FF"/>
      <rgbColor rgb="FFFFCC99"/>
      <rgbColor rgb="FF426FA6"/>
      <rgbColor rgb="FF4299B0"/>
      <rgbColor rgb="FF8AA64F"/>
      <rgbColor rgb="FFFFCC00"/>
      <rgbColor rgb="FFDB8238"/>
      <rgbColor rgb="FFFF6600"/>
      <rgbColor rgb="FF725990"/>
      <rgbColor rgb="FF8EA5CA"/>
      <rgbColor rgb="FF003366"/>
      <rgbColor rgb="FF3D97AF"/>
      <rgbColor rgb="FF003300"/>
      <rgbColor rgb="FF333300"/>
      <rgbColor rgb="FFC0504D"/>
      <rgbColor rgb="FFAB4744"/>
      <rgbColor rgb="FF1F4E78"/>
      <rgbColor rgb="FF6F568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Evolución mensual de gasto (filtrable por agente)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Histórico!$L$4</c:f>
              <c:strCache>
                <c:ptCount val="1"/>
                <c:pt idx="0">
                  <c:v>Garum</c:v>
                </c:pt>
              </c:strCache>
            </c:strRef>
          </c:tx>
          <c:spPr>
            <a:ln w="28440">
              <a:solidFill>
                <a:srgbClr val="426FA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Histórico!$K$5:$K$16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Histórico!$L$5:$L$16</c:f>
              <c:numCache>
                <c:formatCode>#,##0" €"</c:formatCode>
                <c:ptCount val="12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42D-4734-8D03-7F10B3368E87}"/>
            </c:ext>
          </c:extLst>
        </c:ser>
        <c:ser>
          <c:idx val="1"/>
          <c:order val="1"/>
          <c:tx>
            <c:strRef>
              <c:f>Histórico!$M$4</c:f>
              <c:strCache>
                <c:ptCount val="1"/>
                <c:pt idx="0">
                  <c:v>Hermes</c:v>
                </c:pt>
              </c:strCache>
            </c:strRef>
          </c:tx>
          <c:spPr>
            <a:ln w="28440">
              <a:solidFill>
                <a:srgbClr val="AA433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Histórico!$K$5:$K$16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Histórico!$M$5:$M$16</c:f>
              <c:numCache>
                <c:formatCode>#,##0" €"</c:formatCode>
                <c:ptCount val="12"/>
                <c:pt idx="0">
                  <c:v>27</c:v>
                </c:pt>
                <c:pt idx="1">
                  <c:v>28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  <c:pt idx="9">
                  <c:v>36</c:v>
                </c:pt>
                <c:pt idx="10">
                  <c:v>37</c:v>
                </c:pt>
                <c:pt idx="11">
                  <c:v>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42D-4734-8D03-7F10B3368E87}"/>
            </c:ext>
          </c:extLst>
        </c:ser>
        <c:ser>
          <c:idx val="2"/>
          <c:order val="2"/>
          <c:tx>
            <c:strRef>
              <c:f>Histórico!$N$4</c:f>
              <c:strCache>
                <c:ptCount val="1"/>
                <c:pt idx="0">
                  <c:v>Lumen</c:v>
                </c:pt>
              </c:strCache>
            </c:strRef>
          </c:tx>
          <c:spPr>
            <a:ln w="28440">
              <a:solidFill>
                <a:srgbClr val="87A44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Histórico!$K$5:$K$16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Histórico!$N$5:$N$16</c:f>
              <c:numCache>
                <c:formatCode>#,##0" €"</c:formatCode>
                <c:ptCount val="12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</c:v>
                </c:pt>
                <c:pt idx="4">
                  <c:v>36</c:v>
                </c:pt>
                <c:pt idx="5">
                  <c:v>37</c:v>
                </c:pt>
                <c:pt idx="6">
                  <c:v>38</c:v>
                </c:pt>
                <c:pt idx="7">
                  <c:v>39</c:v>
                </c:pt>
                <c:pt idx="8">
                  <c:v>40</c:v>
                </c:pt>
                <c:pt idx="9">
                  <c:v>41</c:v>
                </c:pt>
                <c:pt idx="10">
                  <c:v>42</c:v>
                </c:pt>
                <c:pt idx="11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42D-4734-8D03-7F10B3368E87}"/>
            </c:ext>
          </c:extLst>
        </c:ser>
        <c:ser>
          <c:idx val="3"/>
          <c:order val="3"/>
          <c:tx>
            <c:strRef>
              <c:f>Histórico!$O$4</c:f>
              <c:strCache>
                <c:ptCount val="1"/>
                <c:pt idx="0">
                  <c:v>Operis</c:v>
                </c:pt>
              </c:strCache>
            </c:strRef>
          </c:tx>
          <c:spPr>
            <a:ln w="28440">
              <a:solidFill>
                <a:srgbClr val="6F568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Histórico!$K$5:$K$16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Histórico!$O$5:$O$16</c:f>
              <c:numCache>
                <c:formatCode>#,##0" €"</c:formatCode>
                <c:ptCount val="12"/>
                <c:pt idx="0">
                  <c:v>37</c:v>
                </c:pt>
                <c:pt idx="1">
                  <c:v>38</c:v>
                </c:pt>
                <c:pt idx="2">
                  <c:v>39</c:v>
                </c:pt>
                <c:pt idx="3">
                  <c:v>40</c:v>
                </c:pt>
                <c:pt idx="4">
                  <c:v>41</c:v>
                </c:pt>
                <c:pt idx="5">
                  <c:v>42</c:v>
                </c:pt>
                <c:pt idx="6">
                  <c:v>43</c:v>
                </c:pt>
                <c:pt idx="7">
                  <c:v>44</c:v>
                </c:pt>
                <c:pt idx="8">
                  <c:v>45</c:v>
                </c:pt>
                <c:pt idx="9">
                  <c:v>46</c:v>
                </c:pt>
                <c:pt idx="10">
                  <c:v>47</c:v>
                </c:pt>
                <c:pt idx="11">
                  <c:v>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42D-4734-8D03-7F10B3368E87}"/>
            </c:ext>
          </c:extLst>
        </c:ser>
        <c:ser>
          <c:idx val="4"/>
          <c:order val="4"/>
          <c:tx>
            <c:strRef>
              <c:f>Histórico!$P$4</c:f>
              <c:strCache>
                <c:ptCount val="1"/>
                <c:pt idx="0">
                  <c:v>Vigil</c:v>
                </c:pt>
              </c:strCache>
            </c:strRef>
          </c:tx>
          <c:spPr>
            <a:ln w="28440">
              <a:solidFill>
                <a:srgbClr val="3D97A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Histórico!$K$5:$K$16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Histórico!$P$5:$P$16</c:f>
              <c:numCache>
                <c:formatCode>#,##0" €"</c:formatCode>
                <c:ptCount val="12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42D-4734-8D03-7F10B3368E87}"/>
            </c:ext>
          </c:extLst>
        </c:ser>
        <c:ser>
          <c:idx val="5"/>
          <c:order val="5"/>
          <c:tx>
            <c:strRef>
              <c:f>Histórico!$Q$4</c:f>
              <c:strCache>
                <c:ptCount val="1"/>
                <c:pt idx="0">
                  <c:v>Jano</c:v>
                </c:pt>
              </c:strCache>
            </c:strRef>
          </c:tx>
          <c:spPr>
            <a:ln w="28440">
              <a:solidFill>
                <a:srgbClr val="DB823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Histórico!$K$5:$K$16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Histórico!$Q$5:$Q$16</c:f>
              <c:numCache>
                <c:formatCode>#,##0" €"</c:formatCode>
                <c:ptCount val="12"/>
                <c:pt idx="0">
                  <c:v>47</c:v>
                </c:pt>
                <c:pt idx="1">
                  <c:v>48</c:v>
                </c:pt>
                <c:pt idx="2">
                  <c:v>49</c:v>
                </c:pt>
                <c:pt idx="3">
                  <c:v>50</c:v>
                </c:pt>
                <c:pt idx="4">
                  <c:v>51</c:v>
                </c:pt>
                <c:pt idx="5">
                  <c:v>52</c:v>
                </c:pt>
                <c:pt idx="6">
                  <c:v>53</c:v>
                </c:pt>
                <c:pt idx="7">
                  <c:v>54</c:v>
                </c:pt>
                <c:pt idx="8">
                  <c:v>55</c:v>
                </c:pt>
                <c:pt idx="9">
                  <c:v>56</c:v>
                </c:pt>
                <c:pt idx="10">
                  <c:v>57</c:v>
                </c:pt>
                <c:pt idx="11">
                  <c:v>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42D-4734-8D03-7F10B3368E87}"/>
            </c:ext>
          </c:extLst>
        </c:ser>
        <c:ser>
          <c:idx val="6"/>
          <c:order val="6"/>
          <c:tx>
            <c:strRef>
              <c:f>Histórico!$R$4</c:f>
              <c:strCache>
                <c:ptCount val="1"/>
                <c:pt idx="0">
                  <c:v>Clasificador</c:v>
                </c:pt>
              </c:strCache>
            </c:strRef>
          </c:tx>
          <c:spPr>
            <a:ln w="28440">
              <a:solidFill>
                <a:srgbClr val="8EA5C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Histórico!$K$5:$K$16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Histórico!$R$5:$R$16</c:f>
              <c:numCache>
                <c:formatCode>#,##0" €"</c:formatCode>
                <c:ptCount val="12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742D-4734-8D03-7F10B3368E87}"/>
            </c:ext>
          </c:extLst>
        </c:ser>
        <c:ser>
          <c:idx val="7"/>
          <c:order val="7"/>
          <c:tx>
            <c:strRef>
              <c:f>Histórico!$S$4</c:f>
              <c:strCache>
                <c:ptCount val="1"/>
                <c:pt idx="0">
                  <c:v>TOTAL</c:v>
                </c:pt>
              </c:strCache>
            </c:strRef>
          </c:tx>
          <c:spPr>
            <a:ln w="28440">
              <a:solidFill>
                <a:srgbClr val="CC8F8E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Histórico!$K$5:$K$16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Histórico!$S$5:$S$16</c:f>
              <c:numCache>
                <c:formatCode>#,##0" €"</c:formatCode>
                <c:ptCount val="12"/>
                <c:pt idx="0">
                  <c:v>259</c:v>
                </c:pt>
                <c:pt idx="1">
                  <c:v>266</c:v>
                </c:pt>
                <c:pt idx="2">
                  <c:v>273</c:v>
                </c:pt>
                <c:pt idx="3">
                  <c:v>280</c:v>
                </c:pt>
                <c:pt idx="4">
                  <c:v>287</c:v>
                </c:pt>
                <c:pt idx="5">
                  <c:v>294</c:v>
                </c:pt>
                <c:pt idx="6">
                  <c:v>301</c:v>
                </c:pt>
                <c:pt idx="7">
                  <c:v>308</c:v>
                </c:pt>
                <c:pt idx="8">
                  <c:v>315</c:v>
                </c:pt>
                <c:pt idx="9">
                  <c:v>322</c:v>
                </c:pt>
                <c:pt idx="10">
                  <c:v>329</c:v>
                </c:pt>
                <c:pt idx="11">
                  <c:v>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742D-4734-8D03-7F10B3368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28293664"/>
        <c:axId val="8259712"/>
      </c:lineChart>
      <c:catAx>
        <c:axId val="282936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259712"/>
        <c:crosses val="autoZero"/>
        <c:auto val="1"/>
        <c:lblAlgn val="ctr"/>
        <c:lblOffset val="100"/>
        <c:noMultiLvlLbl val="0"/>
      </c:catAx>
      <c:valAx>
        <c:axId val="82597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Coste (€)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829366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Ranking de Agentes por Coste Mensual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'Comparador Agentes'!$C$11</c:f>
              <c:strCache>
                <c:ptCount val="1"/>
                <c:pt idx="0">
                  <c:v>Coste mensual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'Comparador Agentes'!$B$12:$B$18</c:f>
              <c:strCache>
                <c:ptCount val="7"/>
                <c:pt idx="0">
                  <c:v>Lumen (consultas)</c:v>
                </c:pt>
                <c:pt idx="1">
                  <c:v>Garum (Gestor Correos)</c:v>
                </c:pt>
                <c:pt idx="2">
                  <c:v>Jano (viajes)</c:v>
                </c:pt>
                <c:pt idx="3">
                  <c:v>Hermes (Telegram)</c:v>
                </c:pt>
                <c:pt idx="4">
                  <c:v>Operis (autorellenado)</c:v>
                </c:pt>
                <c:pt idx="5">
                  <c:v>Vigil (concursos)</c:v>
                </c:pt>
                <c:pt idx="6">
                  <c:v>0</c:v>
                </c:pt>
              </c:strCache>
            </c:strRef>
          </c:cat>
          <c:val>
            <c:numRef>
              <c:f>'Comparador Agentes'!$C$12:$C$18</c:f>
              <c:numCache>
                <c:formatCode>#,##0.00" €"</c:formatCode>
                <c:ptCount val="7"/>
                <c:pt idx="0">
                  <c:v>3.2790002</c:v>
                </c:pt>
                <c:pt idx="1">
                  <c:v>1.81995</c:v>
                </c:pt>
                <c:pt idx="2">
                  <c:v>0.72675049999999997</c:v>
                </c:pt>
                <c:pt idx="3">
                  <c:v>0.53190009999999999</c:v>
                </c:pt>
                <c:pt idx="4">
                  <c:v>0.28950029999999999</c:v>
                </c:pt>
                <c:pt idx="5">
                  <c:v>4.9620399999999995E-2</c:v>
                </c:pt>
                <c:pt idx="6">
                  <c:v>5.9999999999999997E-7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7-46EF-BB54-9254B8141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854220"/>
        <c:axId val="18310152"/>
      </c:barChart>
      <c:catAx>
        <c:axId val="2885422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Agente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8310152"/>
        <c:crosses val="autoZero"/>
        <c:auto val="1"/>
        <c:lblAlgn val="ctr"/>
        <c:lblOffset val="100"/>
        <c:noMultiLvlLbl val="0"/>
      </c:catAx>
      <c:valAx>
        <c:axId val="18310152"/>
        <c:scaling>
          <c:orientation val="maxMin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Coste mensual (€)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885422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Coste mensual por agente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Agentes!$O$1</c:f>
              <c:strCache>
                <c:ptCount val="1"/>
                <c:pt idx="0">
                  <c:v>TOTAL Mes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Agentes!$A$2:$A$8</c:f>
              <c:strCache>
                <c:ptCount val="6"/>
                <c:pt idx="0">
                  <c:v>Garum (Gestor Correos)</c:v>
                </c:pt>
                <c:pt idx="1">
                  <c:v>Hermes (Telegram)</c:v>
                </c:pt>
                <c:pt idx="2">
                  <c:v>Lumen (consultas)</c:v>
                </c:pt>
                <c:pt idx="3">
                  <c:v>Operis (autorellenado)</c:v>
                </c:pt>
                <c:pt idx="4">
                  <c:v>Vigil (concursos)</c:v>
                </c:pt>
                <c:pt idx="5">
                  <c:v>Jano (viajes)</c:v>
                </c:pt>
              </c:strCache>
            </c:strRef>
          </c:cat>
          <c:val>
            <c:numRef>
              <c:f>Agentes!$O$2:$O$8</c:f>
              <c:numCache>
                <c:formatCode>#,##0.00" €"</c:formatCode>
                <c:ptCount val="7"/>
                <c:pt idx="0">
                  <c:v>1.81995</c:v>
                </c:pt>
                <c:pt idx="1">
                  <c:v>0.53190000000000004</c:v>
                </c:pt>
                <c:pt idx="2">
                  <c:v>3.2789999999999999</c:v>
                </c:pt>
                <c:pt idx="3">
                  <c:v>0.28949999999999998</c:v>
                </c:pt>
                <c:pt idx="4">
                  <c:v>4.9619999999999997E-2</c:v>
                </c:pt>
                <c:pt idx="5">
                  <c:v>0.72675000000000001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B-4ECE-960F-10DB5ECFA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99892"/>
        <c:axId val="54115825"/>
      </c:barChart>
      <c:catAx>
        <c:axId val="48998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Agente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4115825"/>
        <c:crosses val="autoZero"/>
        <c:auto val="1"/>
        <c:lblAlgn val="ctr"/>
        <c:lblOffset val="100"/>
        <c:noMultiLvlLbl val="0"/>
      </c:catAx>
      <c:valAx>
        <c:axId val="541158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Coste (€)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89989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Distribución porcentual del coste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Agentes!$O$1</c:f>
              <c:strCache>
                <c:ptCount val="1"/>
                <c:pt idx="0">
                  <c:v>TOTAL Mes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BDB-4634-BD83-EB561ADADB67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BDB-4634-BD83-EB561ADADB67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BDB-4634-BD83-EB561ADADB67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BDB-4634-BD83-EB561ADADB67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BDB-4634-BD83-EB561ADADB67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BDB-4634-BD83-EB561ADADB67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BDB-4634-BD83-EB561ADADB67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9BDB-4634-BD83-EB561ADADB67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9BDB-4634-BD83-EB561ADADB67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9BDB-4634-BD83-EB561ADADB67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9BDB-4634-BD83-EB561ADADB67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9BDB-4634-BD83-EB561ADADB67}"/>
                </c:ext>
              </c:extLst>
            </c:dLbl>
            <c:dLbl>
              <c:idx val="5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9BDB-4634-BD83-EB561ADADB67}"/>
                </c:ext>
              </c:extLst>
            </c:dLbl>
            <c:dLbl>
              <c:idx val="6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9BDB-4634-BD83-EB561ADADB6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Agentes!$A$2:$A$8</c:f>
              <c:strCache>
                <c:ptCount val="6"/>
                <c:pt idx="0">
                  <c:v>Garum (Gestor Correos)</c:v>
                </c:pt>
                <c:pt idx="1">
                  <c:v>Hermes (Telegram)</c:v>
                </c:pt>
                <c:pt idx="2">
                  <c:v>Lumen (consultas)</c:v>
                </c:pt>
                <c:pt idx="3">
                  <c:v>Operis (autorellenado)</c:v>
                </c:pt>
                <c:pt idx="4">
                  <c:v>Vigil (concursos)</c:v>
                </c:pt>
                <c:pt idx="5">
                  <c:v>Jano (viajes)</c:v>
                </c:pt>
              </c:strCache>
            </c:strRef>
          </c:cat>
          <c:val>
            <c:numRef>
              <c:f>Agentes!$O$2:$O$8</c:f>
              <c:numCache>
                <c:formatCode>#,##0.00" €"</c:formatCode>
                <c:ptCount val="7"/>
                <c:pt idx="0">
                  <c:v>1.81995</c:v>
                </c:pt>
                <c:pt idx="1">
                  <c:v>0.53190000000000004</c:v>
                </c:pt>
                <c:pt idx="2">
                  <c:v>3.2789999999999999</c:v>
                </c:pt>
                <c:pt idx="3">
                  <c:v>0.28949999999999998</c:v>
                </c:pt>
                <c:pt idx="4">
                  <c:v>4.9619999999999997E-2</c:v>
                </c:pt>
                <c:pt idx="5">
                  <c:v>0.72675000000000001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BDB-4634-BD83-EB561ADAD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egendEntry>
        <c:idx val="6"/>
        <c:delete val="1"/>
      </c:legendEntry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Evolución mensual del gasto total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Histórico!$I$1</c:f>
              <c:strCache>
                <c:ptCount val="1"/>
                <c:pt idx="0">
                  <c:v>TOTAL</c:v>
                </c:pt>
              </c:strCache>
            </c:strRef>
          </c:tx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Histórico!$A$2:$A$13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Histórico!$I$2:$I$13</c:f>
              <c:numCache>
                <c:formatCode>#,##0" €"</c:formatCode>
                <c:ptCount val="12"/>
                <c:pt idx="0">
                  <c:v>259</c:v>
                </c:pt>
                <c:pt idx="1">
                  <c:v>266</c:v>
                </c:pt>
                <c:pt idx="2">
                  <c:v>273</c:v>
                </c:pt>
                <c:pt idx="3">
                  <c:v>280</c:v>
                </c:pt>
                <c:pt idx="4">
                  <c:v>287</c:v>
                </c:pt>
                <c:pt idx="5">
                  <c:v>294</c:v>
                </c:pt>
                <c:pt idx="6">
                  <c:v>301</c:v>
                </c:pt>
                <c:pt idx="7">
                  <c:v>308</c:v>
                </c:pt>
                <c:pt idx="8">
                  <c:v>315</c:v>
                </c:pt>
                <c:pt idx="9">
                  <c:v>322</c:v>
                </c:pt>
                <c:pt idx="10">
                  <c:v>329</c:v>
                </c:pt>
                <c:pt idx="11">
                  <c:v>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F9-49C4-9439-F844E9A37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8922970"/>
        <c:axId val="1143634"/>
      </c:lineChart>
      <c:catAx>
        <c:axId val="989229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143634"/>
        <c:crosses val="autoZero"/>
        <c:auto val="1"/>
        <c:lblAlgn val="ctr"/>
        <c:lblOffset val="100"/>
        <c:noMultiLvlLbl val="0"/>
      </c:catAx>
      <c:valAx>
        <c:axId val="11436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Coste (€)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892297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Ranking de agentes por coste mensual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'Comparador Agentes'!$C$11</c:f>
              <c:strCache>
                <c:ptCount val="1"/>
                <c:pt idx="0">
                  <c:v>Coste mensual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'Comparador Agentes'!$B$12:$B$18</c:f>
              <c:strCache>
                <c:ptCount val="7"/>
                <c:pt idx="0">
                  <c:v>Lumen (consultas)</c:v>
                </c:pt>
                <c:pt idx="1">
                  <c:v>Garum (Gestor Correos)</c:v>
                </c:pt>
                <c:pt idx="2">
                  <c:v>Jano (viajes)</c:v>
                </c:pt>
                <c:pt idx="3">
                  <c:v>Hermes (Telegram)</c:v>
                </c:pt>
                <c:pt idx="4">
                  <c:v>Operis (autorellenado)</c:v>
                </c:pt>
                <c:pt idx="5">
                  <c:v>Vigil (concursos)</c:v>
                </c:pt>
                <c:pt idx="6">
                  <c:v>0</c:v>
                </c:pt>
              </c:strCache>
            </c:strRef>
          </c:cat>
          <c:val>
            <c:numRef>
              <c:f>'Comparador Agentes'!$C$12:$C$18</c:f>
              <c:numCache>
                <c:formatCode>#,##0.00" €"</c:formatCode>
                <c:ptCount val="7"/>
                <c:pt idx="0">
                  <c:v>3.2790002</c:v>
                </c:pt>
                <c:pt idx="1">
                  <c:v>1.81995</c:v>
                </c:pt>
                <c:pt idx="2">
                  <c:v>0.72675049999999997</c:v>
                </c:pt>
                <c:pt idx="3">
                  <c:v>0.53190009999999999</c:v>
                </c:pt>
                <c:pt idx="4">
                  <c:v>0.28950029999999999</c:v>
                </c:pt>
                <c:pt idx="5">
                  <c:v>4.9620399999999995E-2</c:v>
                </c:pt>
                <c:pt idx="6">
                  <c:v>5.9999999999999997E-7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B-47F1-9691-B0797E5A9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653960"/>
        <c:axId val="80309581"/>
      </c:barChart>
      <c:catAx>
        <c:axId val="80653960"/>
        <c:scaling>
          <c:orientation val="minMax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0309581"/>
        <c:crosses val="autoZero"/>
        <c:auto val="1"/>
        <c:lblAlgn val="ctr"/>
        <c:lblOffset val="100"/>
        <c:noMultiLvlLbl val="0"/>
      </c:catAx>
      <c:valAx>
        <c:axId val="80309581"/>
        <c:scaling>
          <c:orientation val="maxMin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065396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Coste IA vs Coste Infraestructura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Dashboard!$B$47</c:f>
              <c:strCache>
                <c:ptCount val="1"/>
                <c:pt idx="0">
                  <c:v>Coste IA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Dashboard!$A$48:$A$49</c:f>
              <c:strCache>
                <c:ptCount val="2"/>
                <c:pt idx="0">
                  <c:v>Mensual</c:v>
                </c:pt>
                <c:pt idx="1">
                  <c:v>Anual</c:v>
                </c:pt>
              </c:strCache>
            </c:strRef>
          </c:cat>
          <c:val>
            <c:numRef>
              <c:f>Dashboard!$B$48:$B$49</c:f>
              <c:numCache>
                <c:formatCode>#,##0.00" €"</c:formatCode>
                <c:ptCount val="2"/>
                <c:pt idx="0">
                  <c:v>6.69672</c:v>
                </c:pt>
                <c:pt idx="1">
                  <c:v>80.360640000000004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5-42F8-9906-323366557A0C}"/>
            </c:ext>
          </c:extLst>
        </c:ser>
        <c:ser>
          <c:idx val="1"/>
          <c:order val="1"/>
          <c:tx>
            <c:strRef>
              <c:f>Dashboard!$C$47</c:f>
              <c:strCache>
                <c:ptCount val="1"/>
                <c:pt idx="0">
                  <c:v>Coste Infraestructura</c:v>
                </c:pt>
              </c:strCache>
            </c:strRef>
          </c:tx>
          <c:spPr>
            <a:solidFill>
              <a:srgbClr val="C0504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Dashboard!$A$48:$A$49</c:f>
              <c:strCache>
                <c:ptCount val="2"/>
                <c:pt idx="0">
                  <c:v>Mensual</c:v>
                </c:pt>
                <c:pt idx="1">
                  <c:v>Anual</c:v>
                </c:pt>
              </c:strCache>
            </c:strRef>
          </c:cat>
          <c:val>
            <c:numRef>
              <c:f>Dashboard!$C$48:$C$49</c:f>
              <c:numCache>
                <c:formatCode>#,##0.00" €"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C5-42F8-9906-323366557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460171"/>
        <c:axId val="43018654"/>
      </c:barChart>
      <c:catAx>
        <c:axId val="824601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3018654"/>
        <c:crosses val="autoZero"/>
        <c:auto val="1"/>
        <c:lblAlgn val="ctr"/>
        <c:lblOffset val="100"/>
        <c:noMultiLvlLbl val="0"/>
      </c:catAx>
      <c:valAx>
        <c:axId val="430186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246017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14</xdr:col>
      <xdr:colOff>77760</xdr:colOff>
      <xdr:row>33</xdr:row>
      <xdr:rowOff>169920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243840</xdr:colOff>
      <xdr:row>2</xdr:row>
      <xdr:rowOff>152400</xdr:rowOff>
    </xdr:from>
    <xdr:to>
      <xdr:col>22</xdr:col>
      <xdr:colOff>121800</xdr:colOff>
      <xdr:row>21</xdr:row>
      <xdr:rowOff>131820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40105</xdr:colOff>
      <xdr:row>0</xdr:row>
      <xdr:rowOff>157816</xdr:rowOff>
    </xdr:from>
    <xdr:to>
      <xdr:col>21</xdr:col>
      <xdr:colOff>469231</xdr:colOff>
      <xdr:row>15</xdr:row>
      <xdr:rowOff>174218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112295</xdr:colOff>
      <xdr:row>14</xdr:row>
      <xdr:rowOff>1203</xdr:rowOff>
    </xdr:from>
    <xdr:to>
      <xdr:col>9</xdr:col>
      <xdr:colOff>256674</xdr:colOff>
      <xdr:row>43</xdr:row>
      <xdr:rowOff>112295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16043</xdr:colOff>
      <xdr:row>17</xdr:row>
      <xdr:rowOff>123504</xdr:rowOff>
    </xdr:from>
    <xdr:to>
      <xdr:col>19</xdr:col>
      <xdr:colOff>310270</xdr:colOff>
      <xdr:row>34</xdr:row>
      <xdr:rowOff>121302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588746</xdr:colOff>
      <xdr:row>36</xdr:row>
      <xdr:rowOff>165726</xdr:rowOff>
    </xdr:from>
    <xdr:to>
      <xdr:col>19</xdr:col>
      <xdr:colOff>249986</xdr:colOff>
      <xdr:row>53</xdr:row>
      <xdr:rowOff>134403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62</xdr:row>
      <xdr:rowOff>41400</xdr:rowOff>
    </xdr:from>
    <xdr:to>
      <xdr:col>5</xdr:col>
      <xdr:colOff>695280</xdr:colOff>
      <xdr:row>79</xdr:row>
      <xdr:rowOff>41760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uración"/>
      <sheetName val="LLMs"/>
      <sheetName val="Agentes"/>
      <sheetName val="Despliegue"/>
      <sheetName val="Histórico (2)"/>
      <sheetName val="Histórico"/>
      <sheetName val="Comparador Agentes"/>
      <sheetName val="Dashboard"/>
    </sheetNames>
    <sheetDataSet>
      <sheetData sheetId="0">
        <row r="2">
          <cell r="B2">
            <v>22</v>
          </cell>
        </row>
        <row r="4">
          <cell r="B4">
            <v>21</v>
          </cell>
        </row>
        <row r="5">
          <cell r="B5">
            <v>10</v>
          </cell>
        </row>
      </sheetData>
      <sheetData sheetId="1">
        <row r="2">
          <cell r="A2" t="str">
            <v>GPT-5 mini</v>
          </cell>
          <cell r="C2">
            <v>0.25</v>
          </cell>
          <cell r="D2">
            <v>2</v>
          </cell>
        </row>
        <row r="3">
          <cell r="A3" t="str">
            <v>GPT-5</v>
          </cell>
          <cell r="C3">
            <v>1.25</v>
          </cell>
          <cell r="D3">
            <v>10</v>
          </cell>
        </row>
        <row r="4">
          <cell r="A4" t="str">
            <v>Claude Sonnet 4</v>
          </cell>
          <cell r="C4">
            <v>3</v>
          </cell>
          <cell r="D4">
            <v>15</v>
          </cell>
        </row>
        <row r="5">
          <cell r="A5" t="str">
            <v>Gemini 2.5 Flash</v>
          </cell>
          <cell r="C5">
            <v>0.3</v>
          </cell>
          <cell r="D5">
            <v>2.5</v>
          </cell>
        </row>
        <row r="6">
          <cell r="A6" t="str">
            <v>Gemini 2.5 Pro</v>
          </cell>
          <cell r="C6">
            <v>1.5</v>
          </cell>
          <cell r="D6">
            <v>10</v>
          </cell>
        </row>
        <row r="7">
          <cell r="A7" t="str">
            <v>Mistral Large</v>
          </cell>
          <cell r="C7">
            <v>2</v>
          </cell>
          <cell r="D7">
            <v>6</v>
          </cell>
        </row>
        <row r="8">
          <cell r="A8" t="str">
            <v>GPT-4.1</v>
          </cell>
          <cell r="C8">
            <v>2</v>
          </cell>
          <cell r="D8">
            <v>8</v>
          </cell>
        </row>
        <row r="9">
          <cell r="A9" t="str">
            <v>Grok 4</v>
          </cell>
          <cell r="C9">
            <v>1</v>
          </cell>
          <cell r="D9">
            <v>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950963-366F-42AB-B855-415AE4D8850C}" name="TablaROI" displayName="TablaROI" ref="A1:J7">
  <autoFilter ref="A1:J7" xr:uid="{00000000-0009-0000-0100-000001000000}"/>
  <tableColumns count="10">
    <tableColumn id="1" xr3:uid="{059179B4-325C-40AB-8285-F2F5A974C4E4}" name="Agente"/>
    <tableColumn id="2" xr3:uid="{1D95C64F-8036-4823-88C5-E2E0FA9B3135}" name="Tiempo manual (min)"/>
    <tableColumn id="3" xr3:uid="{027CF7AF-4FE3-48A7-92A5-B4D7175AAFDE}" name="Tiempo IA (min)"/>
    <tableColumn id="4" xr3:uid="{5697EC12-4359-446C-9DFF-E9112D44A414}" name="Ahorro por tarea (min)">
      <calculatedColumnFormula>B2-C2</calculatedColumnFormula>
    </tableColumn>
    <tableColumn id="5" xr3:uid="{6C06570A-90D7-4BBB-A209-96D4B66A6ADE}" name="Consultas/mes"/>
    <tableColumn id="6" xr3:uid="{BAB43A50-E52E-4AE4-BB84-1DA41F4513C3}" name="Horas ahorradas/mes">
      <calculatedColumnFormula>(D2*E2)/60</calculatedColumnFormula>
    </tableColumn>
    <tableColumn id="7" xr3:uid="{9A2691E2-A891-41FC-954C-EF5E41B51B3E}" name="Horas ahorradas/año">
      <calculatedColumnFormula>F2*12</calculatedColumnFormula>
    </tableColumn>
    <tableColumn id="8" xr3:uid="{9C9AED95-C720-4373-947E-1F200EE07E95}" name="Coste empleado €/h"/>
    <tableColumn id="9" xr3:uid="{69145EDD-7C01-46A3-A56F-967FEB118611}" name="Ahorro económico mensual (€)">
      <calculatedColumnFormula>F2*H2</calculatedColumnFormula>
    </tableColumn>
    <tableColumn id="10" xr3:uid="{5DCBDF72-D760-40BF-ACCF-B351443BE341}" name="Ahorro económico anual (€)">
      <calculatedColumnFormula>G2*H2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Normal="100" workbookViewId="0">
      <selection activeCell="B8" sqref="B8"/>
    </sheetView>
  </sheetViews>
  <sheetFormatPr baseColWidth="10" defaultColWidth="8.6640625" defaultRowHeight="14.4" x14ac:dyDescent="0.3"/>
  <cols>
    <col min="1" max="1" width="22" customWidth="1"/>
    <col min="2" max="2" width="14" customWidth="1"/>
  </cols>
  <sheetData>
    <row r="1" spans="1:2" ht="15" customHeight="1" x14ac:dyDescent="0.3">
      <c r="A1" s="1" t="s">
        <v>32</v>
      </c>
      <c r="B1" s="1" t="s">
        <v>33</v>
      </c>
    </row>
    <row r="2" spans="1:2" ht="15" customHeight="1" x14ac:dyDescent="0.3">
      <c r="A2" t="s">
        <v>34</v>
      </c>
      <c r="B2">
        <v>30</v>
      </c>
    </row>
    <row r="3" spans="1:2" ht="15" customHeight="1" x14ac:dyDescent="0.3">
      <c r="A3" t="s">
        <v>35</v>
      </c>
      <c r="B3">
        <v>24</v>
      </c>
    </row>
    <row r="4" spans="1:2" ht="15" customHeight="1" x14ac:dyDescent="0.3">
      <c r="A4" t="s">
        <v>36</v>
      </c>
      <c r="B4">
        <v>21</v>
      </c>
    </row>
    <row r="5" spans="1:2" ht="15" customHeight="1" x14ac:dyDescent="0.3">
      <c r="A5" t="s">
        <v>37</v>
      </c>
      <c r="B5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Normal="100" workbookViewId="0">
      <selection activeCell="C16" sqref="C16"/>
    </sheetView>
  </sheetViews>
  <sheetFormatPr baseColWidth="10" defaultColWidth="8.6640625" defaultRowHeight="14.4" x14ac:dyDescent="0.3"/>
  <cols>
    <col min="1" max="1" width="18" customWidth="1"/>
    <col min="2" max="2" width="12" customWidth="1"/>
    <col min="3" max="4" width="14" customWidth="1"/>
  </cols>
  <sheetData>
    <row r="1" spans="1:4" ht="15" customHeight="1" x14ac:dyDescent="0.3">
      <c r="A1" s="1" t="s">
        <v>38</v>
      </c>
      <c r="B1" s="1" t="s">
        <v>39</v>
      </c>
      <c r="C1" s="1" t="s">
        <v>40</v>
      </c>
      <c r="D1" s="1" t="s">
        <v>41</v>
      </c>
    </row>
    <row r="2" spans="1:4" ht="15" customHeight="1" x14ac:dyDescent="0.3">
      <c r="A2" t="s">
        <v>42</v>
      </c>
      <c r="B2" t="s">
        <v>43</v>
      </c>
      <c r="C2" s="2">
        <v>0.25</v>
      </c>
      <c r="D2" s="2">
        <v>2</v>
      </c>
    </row>
    <row r="3" spans="1:4" ht="15" customHeight="1" x14ac:dyDescent="0.3">
      <c r="A3" t="s">
        <v>44</v>
      </c>
      <c r="B3" t="s">
        <v>43</v>
      </c>
      <c r="C3" s="2">
        <v>1.25</v>
      </c>
      <c r="D3" s="2">
        <v>10</v>
      </c>
    </row>
    <row r="4" spans="1:4" ht="15" customHeight="1" x14ac:dyDescent="0.3">
      <c r="A4" t="s">
        <v>45</v>
      </c>
      <c r="B4" t="s">
        <v>46</v>
      </c>
      <c r="C4" s="2">
        <v>3</v>
      </c>
      <c r="D4" s="2">
        <v>15</v>
      </c>
    </row>
    <row r="5" spans="1:4" ht="15" customHeight="1" x14ac:dyDescent="0.3">
      <c r="A5" t="s">
        <v>47</v>
      </c>
      <c r="B5" t="s">
        <v>48</v>
      </c>
      <c r="C5" s="2">
        <v>0.3</v>
      </c>
      <c r="D5" s="2">
        <v>2.5</v>
      </c>
    </row>
    <row r="6" spans="1:4" ht="15" customHeight="1" x14ac:dyDescent="0.3">
      <c r="A6" t="s">
        <v>49</v>
      </c>
      <c r="B6" t="s">
        <v>48</v>
      </c>
      <c r="C6" s="2">
        <v>1.5</v>
      </c>
      <c r="D6" s="2">
        <v>10</v>
      </c>
    </row>
    <row r="7" spans="1:4" ht="15" customHeight="1" x14ac:dyDescent="0.3">
      <c r="A7" t="s">
        <v>50</v>
      </c>
      <c r="B7" t="s">
        <v>51</v>
      </c>
      <c r="C7" s="2">
        <v>2</v>
      </c>
      <c r="D7" s="2">
        <v>6</v>
      </c>
    </row>
    <row r="8" spans="1:4" ht="15" customHeight="1" x14ac:dyDescent="0.3">
      <c r="A8" t="s">
        <v>52</v>
      </c>
      <c r="B8" t="s">
        <v>43</v>
      </c>
      <c r="C8" s="2">
        <v>2</v>
      </c>
      <c r="D8" s="2">
        <v>8</v>
      </c>
    </row>
    <row r="9" spans="1:4" x14ac:dyDescent="0.3">
      <c r="A9" t="s">
        <v>17</v>
      </c>
      <c r="B9" t="s">
        <v>53</v>
      </c>
      <c r="C9" s="9">
        <v>0.59</v>
      </c>
      <c r="D9" s="9">
        <v>0.79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8"/>
  <sheetViews>
    <sheetView zoomScaleNormal="100" workbookViewId="0">
      <selection activeCell="B3" sqref="B3"/>
    </sheetView>
  </sheetViews>
  <sheetFormatPr baseColWidth="10" defaultColWidth="8.6640625" defaultRowHeight="14.4" x14ac:dyDescent="0.3"/>
  <cols>
    <col min="1" max="1" width="33.109375" customWidth="1"/>
    <col min="2" max="2" width="16" customWidth="1"/>
    <col min="3" max="3" width="14" customWidth="1"/>
    <col min="4" max="4" width="10" customWidth="1"/>
    <col min="5" max="6" width="14" customWidth="1"/>
    <col min="7" max="8" width="16" customWidth="1"/>
    <col min="9" max="10" width="14" customWidth="1"/>
    <col min="11" max="12" width="12" customWidth="1"/>
    <col min="13" max="14" width="14" customWidth="1"/>
    <col min="15" max="16" width="12" customWidth="1"/>
  </cols>
  <sheetData>
    <row r="1" spans="1:16" ht="1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</row>
    <row r="2" spans="1:16" ht="15" customHeight="1" x14ac:dyDescent="0.3">
      <c r="A2" t="s">
        <v>16</v>
      </c>
      <c r="B2" t="s">
        <v>17</v>
      </c>
      <c r="C2" s="3">
        <v>25</v>
      </c>
      <c r="D2" s="3">
        <f>[1]Configuración!$B$2</f>
        <v>22</v>
      </c>
      <c r="E2" s="3">
        <f t="shared" ref="E2:E7" si="0">C2*D2</f>
        <v>550</v>
      </c>
      <c r="F2" s="3">
        <f t="shared" ref="F2:F7" si="1">E2*12</f>
        <v>6600</v>
      </c>
      <c r="G2" s="3">
        <v>1200</v>
      </c>
      <c r="H2" s="3">
        <v>500</v>
      </c>
      <c r="I2" s="3">
        <f t="shared" ref="I2:I7" si="2">G2*E2</f>
        <v>660000</v>
      </c>
      <c r="J2" s="3">
        <f t="shared" ref="J2:J7" si="3">H2*E2</f>
        <v>275000</v>
      </c>
      <c r="K2" s="2">
        <f>INDEX([1]LLMs!$C$2:$C$9,MATCH(B2,[1]LLMs!$A$2:$A$9,0))</f>
        <v>1</v>
      </c>
      <c r="L2" s="2">
        <f>INDEX([1]LLMs!$D$2:$D$9,MATCH(B2,[1]LLMs!$A$2:$A$9,0))</f>
        <v>3</v>
      </c>
      <c r="M2" s="4">
        <f t="shared" ref="M2:N7" si="4">I2/1000000*K2</f>
        <v>0.66</v>
      </c>
      <c r="N2" s="4">
        <f t="shared" si="4"/>
        <v>0.82500000000000007</v>
      </c>
      <c r="O2" s="4">
        <f t="shared" ref="O2:O7" si="5">M2+N2</f>
        <v>1.4850000000000001</v>
      </c>
      <c r="P2" s="4">
        <f t="shared" ref="P2:P7" si="6">O2*12</f>
        <v>17.82</v>
      </c>
    </row>
    <row r="3" spans="1:16" ht="15" customHeight="1" x14ac:dyDescent="0.3">
      <c r="A3" t="s">
        <v>18</v>
      </c>
      <c r="B3" t="s">
        <v>17</v>
      </c>
      <c r="C3" s="3">
        <v>150</v>
      </c>
      <c r="D3" s="3">
        <f>[1]Configuración!$B$2</f>
        <v>22</v>
      </c>
      <c r="E3" s="3">
        <f t="shared" si="0"/>
        <v>3300</v>
      </c>
      <c r="F3" s="3">
        <f t="shared" si="1"/>
        <v>39600</v>
      </c>
      <c r="G3" s="3">
        <v>900</v>
      </c>
      <c r="H3" s="3">
        <v>450</v>
      </c>
      <c r="I3" s="3">
        <f t="shared" si="2"/>
        <v>2970000</v>
      </c>
      <c r="J3" s="3">
        <f t="shared" si="3"/>
        <v>1485000</v>
      </c>
      <c r="K3" s="2">
        <f>INDEX([1]LLMs!$C$2:$C$9,MATCH(B3,[1]LLMs!$A$2:$A$9,0))</f>
        <v>1</v>
      </c>
      <c r="L3" s="2">
        <f>INDEX([1]LLMs!$D$2:$D$9,MATCH(B3,[1]LLMs!$A$2:$A$9,0))</f>
        <v>3</v>
      </c>
      <c r="M3" s="4">
        <f t="shared" si="4"/>
        <v>2.97</v>
      </c>
      <c r="N3" s="4">
        <f t="shared" si="4"/>
        <v>4.4550000000000001</v>
      </c>
      <c r="O3" s="4">
        <f t="shared" si="5"/>
        <v>7.4250000000000007</v>
      </c>
      <c r="P3" s="4">
        <f t="shared" si="6"/>
        <v>89.100000000000009</v>
      </c>
    </row>
    <row r="4" spans="1:16" ht="15" customHeight="1" x14ac:dyDescent="0.3">
      <c r="A4" t="s">
        <v>19</v>
      </c>
      <c r="B4" t="s">
        <v>17</v>
      </c>
      <c r="C4" s="3">
        <v>150</v>
      </c>
      <c r="D4" s="3">
        <f>[1]Configuración!$B$2</f>
        <v>22</v>
      </c>
      <c r="E4" s="3">
        <f t="shared" si="0"/>
        <v>3300</v>
      </c>
      <c r="F4" s="3">
        <f t="shared" si="1"/>
        <v>39600</v>
      </c>
      <c r="G4" s="3">
        <v>2500</v>
      </c>
      <c r="H4" s="3">
        <v>900</v>
      </c>
      <c r="I4" s="3">
        <f t="shared" si="2"/>
        <v>8250000</v>
      </c>
      <c r="J4" s="3">
        <f t="shared" si="3"/>
        <v>2970000</v>
      </c>
      <c r="K4" s="2">
        <f>INDEX([1]LLMs!$C$2:$C$9,MATCH(B4,[1]LLMs!$A$2:$A$9,0))</f>
        <v>1</v>
      </c>
      <c r="L4" s="2">
        <f>INDEX([1]LLMs!$D$2:$D$9,MATCH(B4,[1]LLMs!$A$2:$A$9,0))</f>
        <v>3</v>
      </c>
      <c r="M4" s="4">
        <f t="shared" si="4"/>
        <v>8.25</v>
      </c>
      <c r="N4" s="4">
        <f t="shared" si="4"/>
        <v>8.91</v>
      </c>
      <c r="O4" s="4">
        <f t="shared" si="5"/>
        <v>17.16</v>
      </c>
      <c r="P4" s="4">
        <f t="shared" si="6"/>
        <v>205.92000000000002</v>
      </c>
    </row>
    <row r="5" spans="1:16" ht="15" customHeight="1" x14ac:dyDescent="0.3">
      <c r="A5" t="s">
        <v>20</v>
      </c>
      <c r="B5" t="s">
        <v>17</v>
      </c>
      <c r="C5" s="3">
        <v>10</v>
      </c>
      <c r="D5" s="3">
        <f>[1]Configuración!$B$2</f>
        <v>22</v>
      </c>
      <c r="E5" s="3">
        <f t="shared" si="0"/>
        <v>220</v>
      </c>
      <c r="F5" s="3">
        <f t="shared" si="1"/>
        <v>2640</v>
      </c>
      <c r="G5" s="3">
        <v>1100</v>
      </c>
      <c r="H5" s="3">
        <v>400</v>
      </c>
      <c r="I5" s="3">
        <f t="shared" si="2"/>
        <v>242000</v>
      </c>
      <c r="J5" s="3">
        <f t="shared" si="3"/>
        <v>88000</v>
      </c>
      <c r="K5" s="2">
        <f>INDEX([1]LLMs!$C$2:$C$9,MATCH(B5,[1]LLMs!$A$2:$A$9,0))</f>
        <v>1</v>
      </c>
      <c r="L5" s="2">
        <f>INDEX([1]LLMs!$D$2:$D$9,MATCH(B5,[1]LLMs!$A$2:$A$9,0))</f>
        <v>3</v>
      </c>
      <c r="M5" s="4">
        <f t="shared" si="4"/>
        <v>0.24199999999999999</v>
      </c>
      <c r="N5" s="4">
        <f t="shared" si="4"/>
        <v>0.26400000000000001</v>
      </c>
      <c r="O5" s="4">
        <f t="shared" si="5"/>
        <v>0.50600000000000001</v>
      </c>
      <c r="P5" s="4">
        <f t="shared" si="6"/>
        <v>6.0720000000000001</v>
      </c>
    </row>
    <row r="6" spans="1:16" ht="15" customHeight="1" x14ac:dyDescent="0.3">
      <c r="A6" t="s">
        <v>21</v>
      </c>
      <c r="B6" t="s">
        <v>17</v>
      </c>
      <c r="C6" s="3">
        <v>2</v>
      </c>
      <c r="D6" s="3">
        <f>[1]Configuración!$B$2</f>
        <v>22</v>
      </c>
      <c r="E6" s="3">
        <f t="shared" si="0"/>
        <v>44</v>
      </c>
      <c r="F6" s="3">
        <f t="shared" si="1"/>
        <v>528</v>
      </c>
      <c r="G6" s="3">
        <v>1000</v>
      </c>
      <c r="H6" s="3">
        <v>300</v>
      </c>
      <c r="I6" s="3">
        <f t="shared" si="2"/>
        <v>44000</v>
      </c>
      <c r="J6" s="3">
        <f t="shared" si="3"/>
        <v>13200</v>
      </c>
      <c r="K6" s="2">
        <f>INDEX([1]LLMs!$C$2:$C$9,MATCH(B6,[1]LLMs!$A$2:$A$9,0))</f>
        <v>1</v>
      </c>
      <c r="L6" s="2">
        <f>INDEX([1]LLMs!$D$2:$D$9,MATCH(B6,[1]LLMs!$A$2:$A$9,0))</f>
        <v>3</v>
      </c>
      <c r="M6" s="4">
        <f t="shared" si="4"/>
        <v>4.3999999999999997E-2</v>
      </c>
      <c r="N6" s="4">
        <f t="shared" si="4"/>
        <v>3.9599999999999996E-2</v>
      </c>
      <c r="O6" s="4">
        <f t="shared" si="5"/>
        <v>8.3599999999999994E-2</v>
      </c>
      <c r="P6" s="4">
        <f t="shared" si="6"/>
        <v>1.0031999999999999</v>
      </c>
    </row>
    <row r="7" spans="1:16" ht="15" customHeight="1" x14ac:dyDescent="0.3">
      <c r="A7" t="s">
        <v>22</v>
      </c>
      <c r="B7" t="s">
        <v>17</v>
      </c>
      <c r="C7" s="3">
        <v>30</v>
      </c>
      <c r="D7" s="3">
        <f>[1]Configuración!$B$2</f>
        <v>22</v>
      </c>
      <c r="E7" s="3">
        <f t="shared" si="0"/>
        <v>660</v>
      </c>
      <c r="F7" s="3">
        <f t="shared" si="1"/>
        <v>7920</v>
      </c>
      <c r="G7" s="3">
        <v>1800</v>
      </c>
      <c r="H7" s="3">
        <v>700</v>
      </c>
      <c r="I7" s="3">
        <f t="shared" si="2"/>
        <v>1188000</v>
      </c>
      <c r="J7" s="3">
        <f t="shared" si="3"/>
        <v>462000</v>
      </c>
      <c r="K7" s="2">
        <f>INDEX([1]LLMs!$C$2:$C$9,MATCH(B7,[1]LLMs!$A$2:$A$9,0))</f>
        <v>1</v>
      </c>
      <c r="L7" s="2">
        <f>INDEX([1]LLMs!$D$2:$D$9,MATCH(B7,[1]LLMs!$A$2:$A$9,0))</f>
        <v>3</v>
      </c>
      <c r="M7" s="4">
        <f t="shared" si="4"/>
        <v>1.1879999999999999</v>
      </c>
      <c r="N7" s="4">
        <f t="shared" si="4"/>
        <v>1.3860000000000001</v>
      </c>
      <c r="O7" s="4">
        <f t="shared" si="5"/>
        <v>2.5739999999999998</v>
      </c>
      <c r="P7" s="4">
        <f t="shared" si="6"/>
        <v>30.887999999999998</v>
      </c>
    </row>
    <row r="8" spans="1:16" ht="15" customHeight="1" x14ac:dyDescent="0.3">
      <c r="C8" s="3"/>
      <c r="D8" s="3"/>
      <c r="E8" s="3"/>
      <c r="F8" s="3"/>
      <c r="G8" s="3"/>
      <c r="H8" s="3"/>
      <c r="I8" s="3"/>
      <c r="J8" s="3"/>
      <c r="K8" s="2"/>
      <c r="L8" s="2"/>
      <c r="M8" s="4"/>
      <c r="N8" s="4"/>
      <c r="O8" s="4"/>
      <c r="P8" s="4"/>
    </row>
    <row r="9" spans="1:16" ht="15" customHeight="1" x14ac:dyDescent="0.3">
      <c r="A9" t="s">
        <v>23</v>
      </c>
      <c r="C9" s="3"/>
      <c r="D9" s="3"/>
      <c r="E9" s="3">
        <f>SUM(E2:E8)</f>
        <v>8074</v>
      </c>
      <c r="F9" s="3">
        <f>SUM(F2:F8)</f>
        <v>96888</v>
      </c>
      <c r="G9" s="3"/>
      <c r="H9" s="3"/>
      <c r="I9" s="3">
        <f>SUM(I2:I8)</f>
        <v>13354000</v>
      </c>
      <c r="J9" s="3">
        <f>SUM(J2:J8)</f>
        <v>5293200</v>
      </c>
      <c r="K9" s="2"/>
      <c r="L9" s="2"/>
      <c r="M9" s="4">
        <f>SUM(M2:M8)</f>
        <v>13.354000000000001</v>
      </c>
      <c r="N9" s="4">
        <f>SUM(N2:N8)</f>
        <v>15.8796</v>
      </c>
      <c r="O9" s="4">
        <f>SUM(O2:O8)</f>
        <v>29.233600000000003</v>
      </c>
      <c r="P9" s="4">
        <f>SUM(P2:P8)</f>
        <v>350.8032</v>
      </c>
    </row>
    <row r="11" spans="1:16" ht="15" customHeight="1" x14ac:dyDescent="0.3">
      <c r="A11" s="15" t="s">
        <v>24</v>
      </c>
      <c r="B11" s="14"/>
    </row>
    <row r="12" spans="1:16" ht="15" customHeight="1" x14ac:dyDescent="0.3">
      <c r="A12" s="11" t="s">
        <v>25</v>
      </c>
      <c r="B12">
        <f>COUNTA(A2:A8)</f>
        <v>6</v>
      </c>
    </row>
    <row r="13" spans="1:16" ht="15" customHeight="1" x14ac:dyDescent="0.3">
      <c r="A13" s="11" t="s">
        <v>26</v>
      </c>
      <c r="B13" s="4">
        <f>O9</f>
        <v>29.233600000000003</v>
      </c>
    </row>
    <row r="14" spans="1:16" ht="15" customHeight="1" x14ac:dyDescent="0.3">
      <c r="A14" s="11" t="s">
        <v>27</v>
      </c>
      <c r="B14" s="4">
        <f>P9</f>
        <v>350.8032</v>
      </c>
    </row>
    <row r="15" spans="1:16" ht="15" customHeight="1" x14ac:dyDescent="0.3">
      <c r="A15" s="11" t="s">
        <v>28</v>
      </c>
      <c r="B15" s="6">
        <f>[1]Configuración!B5/100</f>
        <v>0.1</v>
      </c>
    </row>
    <row r="16" spans="1:16" ht="15" customHeight="1" x14ac:dyDescent="0.3">
      <c r="A16" s="11" t="s">
        <v>29</v>
      </c>
      <c r="B16" s="4">
        <f>P9*(1+[1]Configuración!B5/100)</f>
        <v>385.88352000000003</v>
      </c>
    </row>
    <row r="17" spans="1:2" ht="15" customHeight="1" x14ac:dyDescent="0.3">
      <c r="A17" s="11" t="s">
        <v>30</v>
      </c>
      <c r="B17" s="6">
        <f>[1]Configuración!B4/100</f>
        <v>0.21</v>
      </c>
    </row>
    <row r="18" spans="1:2" ht="15" customHeight="1" x14ac:dyDescent="0.3">
      <c r="A18" s="11" t="s">
        <v>31</v>
      </c>
      <c r="B18" s="4">
        <f>P9*(1+[1]Configuración!B5/100)*(1+[1]Configuración!B4/100)</f>
        <v>466.91905920000005</v>
      </c>
    </row>
  </sheetData>
  <mergeCells count="1">
    <mergeCell ref="A11:B11"/>
  </mergeCells>
  <pageMargins left="0.3" right="0.3" top="0.4" bottom="0.4" header="0.5" footer="0.5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22"/>
  <sheetViews>
    <sheetView zoomScale="99" zoomScaleNormal="99" workbookViewId="0">
      <selection activeCell="G21" sqref="G21"/>
    </sheetView>
  </sheetViews>
  <sheetFormatPr baseColWidth="10" defaultColWidth="8.6640625" defaultRowHeight="14.4" x14ac:dyDescent="0.3"/>
  <cols>
    <col min="1" max="1" width="33.109375" customWidth="1"/>
    <col min="2" max="2" width="16" customWidth="1"/>
    <col min="3" max="3" width="14" customWidth="1"/>
    <col min="4" max="4" width="10" customWidth="1"/>
    <col min="5" max="5" width="17.6640625" customWidth="1"/>
    <col min="6" max="6" width="14" customWidth="1"/>
    <col min="7" max="8" width="19.109375" customWidth="1"/>
    <col min="9" max="9" width="20.44140625" customWidth="1"/>
    <col min="10" max="10" width="14" customWidth="1"/>
    <col min="11" max="12" width="12" customWidth="1"/>
    <col min="13" max="14" width="14" customWidth="1"/>
    <col min="15" max="16" width="12" customWidth="1"/>
  </cols>
  <sheetData>
    <row r="1" spans="1:16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customHeight="1" x14ac:dyDescent="0.3">
      <c r="A2" t="s">
        <v>16</v>
      </c>
      <c r="B2" t="s">
        <v>17</v>
      </c>
      <c r="C2" s="3">
        <v>55</v>
      </c>
      <c r="D2" s="3">
        <f>Configuración!$B$2</f>
        <v>30</v>
      </c>
      <c r="E2" s="3">
        <f t="shared" ref="E2:E7" si="0">C2*D2</f>
        <v>1650</v>
      </c>
      <c r="F2" s="3">
        <f t="shared" ref="F2:F7" si="1">E2*12</f>
        <v>19800</v>
      </c>
      <c r="G2" s="3">
        <v>1200</v>
      </c>
      <c r="H2" s="3">
        <v>500</v>
      </c>
      <c r="I2" s="3">
        <f t="shared" ref="I2:I7" si="2">G2*E2</f>
        <v>1980000</v>
      </c>
      <c r="J2" s="3">
        <f t="shared" ref="J2:J7" si="3">H2*E2</f>
        <v>825000</v>
      </c>
      <c r="K2" s="2">
        <f>INDEX(LLMs!$C$2:$C$9,MATCH(B2,LLMs!$A$2:$A$9,0))</f>
        <v>0.59</v>
      </c>
      <c r="L2" s="2">
        <f>INDEX(LLMs!$D$2:$D$9,MATCH(B2,LLMs!$A$2:$A$9,0))</f>
        <v>0.79</v>
      </c>
      <c r="M2" s="4">
        <f t="shared" ref="M2:N7" si="4">I2/1000000*K2</f>
        <v>1.1681999999999999</v>
      </c>
      <c r="N2" s="4">
        <f t="shared" si="4"/>
        <v>0.65174999999999994</v>
      </c>
      <c r="O2" s="4">
        <f t="shared" ref="O2:O7" si="5">M2+N2</f>
        <v>1.81995</v>
      </c>
      <c r="P2" s="4">
        <f t="shared" ref="P2:P7" si="6">O2*12</f>
        <v>21.839399999999998</v>
      </c>
    </row>
    <row r="3" spans="1:16" ht="15" customHeight="1" x14ac:dyDescent="0.3">
      <c r="A3" t="s">
        <v>18</v>
      </c>
      <c r="B3" t="s">
        <v>17</v>
      </c>
      <c r="C3" s="3">
        <v>20</v>
      </c>
      <c r="D3" s="3">
        <f>Configuración!$B$2</f>
        <v>30</v>
      </c>
      <c r="E3" s="3">
        <f t="shared" si="0"/>
        <v>600</v>
      </c>
      <c r="F3" s="3">
        <f t="shared" si="1"/>
        <v>7200</v>
      </c>
      <c r="G3" s="3">
        <v>900</v>
      </c>
      <c r="H3" s="3">
        <v>450</v>
      </c>
      <c r="I3" s="3">
        <f t="shared" si="2"/>
        <v>540000</v>
      </c>
      <c r="J3" s="3">
        <f t="shared" si="3"/>
        <v>270000</v>
      </c>
      <c r="K3" s="2">
        <f>INDEX(LLMs!$C$2:$C$9,MATCH(B3,LLMs!$A$2:$A$9,0))</f>
        <v>0.59</v>
      </c>
      <c r="L3" s="2">
        <f>INDEX(LLMs!$D$2:$D$9,MATCH(B3,LLMs!$A$2:$A$9,0))</f>
        <v>0.79</v>
      </c>
      <c r="M3" s="4">
        <f t="shared" si="4"/>
        <v>0.31859999999999999</v>
      </c>
      <c r="N3" s="4">
        <f t="shared" si="4"/>
        <v>0.21330000000000002</v>
      </c>
      <c r="O3" s="4">
        <f t="shared" si="5"/>
        <v>0.53190000000000004</v>
      </c>
      <c r="P3" s="4">
        <f t="shared" si="6"/>
        <v>6.3828000000000005</v>
      </c>
    </row>
    <row r="4" spans="1:16" ht="15" customHeight="1" x14ac:dyDescent="0.3">
      <c r="A4" t="s">
        <v>19</v>
      </c>
      <c r="B4" t="s">
        <v>17</v>
      </c>
      <c r="C4" s="3">
        <v>50</v>
      </c>
      <c r="D4" s="3">
        <f>Configuración!$B$2</f>
        <v>30</v>
      </c>
      <c r="E4" s="3">
        <f t="shared" si="0"/>
        <v>1500</v>
      </c>
      <c r="F4" s="3">
        <f t="shared" si="1"/>
        <v>18000</v>
      </c>
      <c r="G4" s="3">
        <v>2500</v>
      </c>
      <c r="H4" s="3">
        <v>900</v>
      </c>
      <c r="I4" s="3">
        <f t="shared" si="2"/>
        <v>3750000</v>
      </c>
      <c r="J4" s="3">
        <f t="shared" si="3"/>
        <v>1350000</v>
      </c>
      <c r="K4" s="2">
        <f>INDEX(LLMs!$C$2:$C$9,MATCH(B4,LLMs!$A$2:$A$9,0))</f>
        <v>0.59</v>
      </c>
      <c r="L4" s="2">
        <f>INDEX(LLMs!$D$2:$D$9,MATCH(B4,LLMs!$A$2:$A$9,0))</f>
        <v>0.79</v>
      </c>
      <c r="M4" s="4">
        <f t="shared" si="4"/>
        <v>2.2124999999999999</v>
      </c>
      <c r="N4" s="4">
        <f t="shared" si="4"/>
        <v>1.0665000000000002</v>
      </c>
      <c r="O4" s="4">
        <f t="shared" si="5"/>
        <v>3.2789999999999999</v>
      </c>
      <c r="P4" s="4">
        <f t="shared" si="6"/>
        <v>39.347999999999999</v>
      </c>
    </row>
    <row r="5" spans="1:16" ht="15" customHeight="1" x14ac:dyDescent="0.3">
      <c r="A5" t="s">
        <v>20</v>
      </c>
      <c r="B5" t="s">
        <v>17</v>
      </c>
      <c r="C5" s="3">
        <v>10</v>
      </c>
      <c r="D5" s="3">
        <f>Configuración!$B$2</f>
        <v>30</v>
      </c>
      <c r="E5" s="3">
        <f t="shared" si="0"/>
        <v>300</v>
      </c>
      <c r="F5" s="3">
        <f t="shared" si="1"/>
        <v>3600</v>
      </c>
      <c r="G5" s="3">
        <v>1100</v>
      </c>
      <c r="H5" s="3">
        <v>400</v>
      </c>
      <c r="I5" s="3">
        <f t="shared" si="2"/>
        <v>330000</v>
      </c>
      <c r="J5" s="3">
        <f t="shared" si="3"/>
        <v>120000</v>
      </c>
      <c r="K5" s="2">
        <f>INDEX(LLMs!$C$2:$C$9,MATCH(B5,LLMs!$A$2:$A$9,0))</f>
        <v>0.59</v>
      </c>
      <c r="L5" s="2">
        <f>INDEX(LLMs!$D$2:$D$9,MATCH(B5,LLMs!$A$2:$A$9,0))</f>
        <v>0.79</v>
      </c>
      <c r="M5" s="4">
        <f t="shared" si="4"/>
        <v>0.19470000000000001</v>
      </c>
      <c r="N5" s="4">
        <f t="shared" si="4"/>
        <v>9.4799999999999995E-2</v>
      </c>
      <c r="O5" s="4">
        <f t="shared" si="5"/>
        <v>0.28949999999999998</v>
      </c>
      <c r="P5" s="4">
        <f t="shared" si="6"/>
        <v>3.4739999999999998</v>
      </c>
    </row>
    <row r="6" spans="1:16" ht="15" customHeight="1" x14ac:dyDescent="0.3">
      <c r="A6" t="s">
        <v>21</v>
      </c>
      <c r="B6" t="s">
        <v>17</v>
      </c>
      <c r="C6" s="3">
        <v>2</v>
      </c>
      <c r="D6" s="3">
        <f>Configuración!$B$2</f>
        <v>30</v>
      </c>
      <c r="E6" s="3">
        <f t="shared" si="0"/>
        <v>60</v>
      </c>
      <c r="F6" s="3">
        <f t="shared" si="1"/>
        <v>720</v>
      </c>
      <c r="G6" s="3">
        <v>1000</v>
      </c>
      <c r="H6" s="3">
        <v>300</v>
      </c>
      <c r="I6" s="3">
        <f t="shared" si="2"/>
        <v>60000</v>
      </c>
      <c r="J6" s="3">
        <f t="shared" si="3"/>
        <v>18000</v>
      </c>
      <c r="K6" s="2">
        <f>INDEX(LLMs!$C$2:$C$9,MATCH(B6,LLMs!$A$2:$A$9,0))</f>
        <v>0.59</v>
      </c>
      <c r="L6" s="2">
        <f>INDEX(LLMs!$D$2:$D$9,MATCH(B6,LLMs!$A$2:$A$9,0))</f>
        <v>0.79</v>
      </c>
      <c r="M6" s="4">
        <f t="shared" si="4"/>
        <v>3.5399999999999994E-2</v>
      </c>
      <c r="N6" s="4">
        <f t="shared" si="4"/>
        <v>1.422E-2</v>
      </c>
      <c r="O6" s="4">
        <f t="shared" si="5"/>
        <v>4.9619999999999997E-2</v>
      </c>
      <c r="P6" s="4">
        <f t="shared" si="6"/>
        <v>0.59543999999999997</v>
      </c>
    </row>
    <row r="7" spans="1:16" ht="15" customHeight="1" x14ac:dyDescent="0.3">
      <c r="A7" t="s">
        <v>22</v>
      </c>
      <c r="B7" t="s">
        <v>17</v>
      </c>
      <c r="C7" s="3">
        <v>15</v>
      </c>
      <c r="D7" s="3">
        <f>Configuración!$B$2</f>
        <v>30</v>
      </c>
      <c r="E7" s="3">
        <f t="shared" si="0"/>
        <v>450</v>
      </c>
      <c r="F7" s="3">
        <f t="shared" si="1"/>
        <v>5400</v>
      </c>
      <c r="G7" s="3">
        <v>1800</v>
      </c>
      <c r="H7" s="3">
        <v>700</v>
      </c>
      <c r="I7" s="3">
        <f t="shared" si="2"/>
        <v>810000</v>
      </c>
      <c r="J7" s="3">
        <f t="shared" si="3"/>
        <v>315000</v>
      </c>
      <c r="K7" s="2">
        <f>INDEX(LLMs!$C$2:$C$9,MATCH(B7,LLMs!$A$2:$A$9,0))</f>
        <v>0.59</v>
      </c>
      <c r="L7" s="2">
        <f>INDEX(LLMs!$D$2:$D$9,MATCH(B7,LLMs!$A$2:$A$9,0))</f>
        <v>0.79</v>
      </c>
      <c r="M7" s="4">
        <f t="shared" si="4"/>
        <v>0.47789999999999999</v>
      </c>
      <c r="N7" s="4">
        <f t="shared" si="4"/>
        <v>0.24885000000000002</v>
      </c>
      <c r="O7" s="4">
        <f t="shared" si="5"/>
        <v>0.72675000000000001</v>
      </c>
      <c r="P7" s="4">
        <f t="shared" si="6"/>
        <v>8.7210000000000001</v>
      </c>
    </row>
    <row r="8" spans="1:16" ht="15" customHeight="1" x14ac:dyDescent="0.3">
      <c r="C8" s="3"/>
      <c r="D8" s="3"/>
      <c r="E8" s="3"/>
      <c r="F8" s="3"/>
      <c r="G8" s="3"/>
      <c r="H8" s="3"/>
      <c r="I8" s="3"/>
      <c r="J8" s="3"/>
      <c r="K8" s="2"/>
      <c r="L8" s="2"/>
      <c r="M8" s="4"/>
      <c r="N8" s="4"/>
      <c r="O8" s="4"/>
      <c r="P8" s="4"/>
    </row>
    <row r="9" spans="1:16" ht="15" customHeight="1" x14ac:dyDescent="0.3">
      <c r="A9" t="s">
        <v>23</v>
      </c>
      <c r="C9" s="3"/>
      <c r="D9" s="3"/>
      <c r="E9" s="3">
        <f>SUM(E2:E8)</f>
        <v>4560</v>
      </c>
      <c r="F9" s="3">
        <f>SUM(F2:F8)</f>
        <v>54720</v>
      </c>
      <c r="G9" s="3"/>
      <c r="H9" s="3"/>
      <c r="I9" s="3">
        <f>SUM(I2:I8)</f>
        <v>7470000</v>
      </c>
      <c r="J9" s="3">
        <f>SUM(J2:J8)</f>
        <v>2898000</v>
      </c>
      <c r="K9" s="2"/>
      <c r="L9" s="2"/>
      <c r="M9" s="4">
        <f>SUM(M2:M8)</f>
        <v>4.4073000000000002</v>
      </c>
      <c r="N9" s="4">
        <f>SUM(N2:N8)</f>
        <v>2.2894199999999998</v>
      </c>
      <c r="O9" s="4">
        <f>SUM(O2:O8)</f>
        <v>6.69672</v>
      </c>
      <c r="P9" s="4">
        <f>SUM(P2:P8)</f>
        <v>80.360640000000004</v>
      </c>
    </row>
    <row r="11" spans="1:16" ht="15" customHeight="1" x14ac:dyDescent="0.3">
      <c r="A11" s="16" t="s">
        <v>24</v>
      </c>
      <c r="B11" s="14"/>
    </row>
    <row r="12" spans="1:16" ht="15" customHeight="1" x14ac:dyDescent="0.3">
      <c r="A12" s="5" t="s">
        <v>25</v>
      </c>
      <c r="B12">
        <f>COUNTA(A2:A8)</f>
        <v>6</v>
      </c>
    </row>
    <row r="13" spans="1:16" ht="15" customHeight="1" x14ac:dyDescent="0.3">
      <c r="A13" s="5" t="s">
        <v>26</v>
      </c>
      <c r="B13" s="4">
        <f>O9</f>
        <v>6.69672</v>
      </c>
    </row>
    <row r="14" spans="1:16" ht="15" customHeight="1" x14ac:dyDescent="0.3">
      <c r="A14" s="5" t="s">
        <v>27</v>
      </c>
      <c r="B14" s="4">
        <f>P9</f>
        <v>80.360640000000004</v>
      </c>
    </row>
    <row r="15" spans="1:16" ht="15" customHeight="1" x14ac:dyDescent="0.3">
      <c r="A15" s="5" t="s">
        <v>28</v>
      </c>
      <c r="B15" s="6">
        <f>Configuración!B5/100</f>
        <v>0.15</v>
      </c>
    </row>
    <row r="16" spans="1:16" ht="15" customHeight="1" x14ac:dyDescent="0.3">
      <c r="A16" s="5" t="s">
        <v>29</v>
      </c>
      <c r="B16" s="4">
        <f>P9*(1+Configuración!B5/100)</f>
        <v>92.414735999999991</v>
      </c>
    </row>
    <row r="17" spans="1:3" ht="15" customHeight="1" x14ac:dyDescent="0.3">
      <c r="A17" s="5" t="s">
        <v>30</v>
      </c>
      <c r="B17" s="6">
        <f>Configuración!B4/100</f>
        <v>0.21</v>
      </c>
    </row>
    <row r="18" spans="1:3" ht="15" customHeight="1" x14ac:dyDescent="0.3">
      <c r="A18" s="5" t="s">
        <v>31</v>
      </c>
      <c r="B18" s="4">
        <f>P9*(1+Configuración!B5/100)*(1+Configuración!B4/100)</f>
        <v>111.82183055999998</v>
      </c>
    </row>
    <row r="22" spans="1:3" x14ac:dyDescent="0.3">
      <c r="B22" t="s">
        <v>128</v>
      </c>
      <c r="C22">
        <v>14</v>
      </c>
    </row>
  </sheetData>
  <mergeCells count="1">
    <mergeCell ref="A11:B11"/>
  </mergeCells>
  <pageMargins left="0.3" right="0.3" top="0.4" bottom="0.4" header="0.5" footer="0.5"/>
  <pageSetup paperSize="9"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LLMs!$A$2:$A$9</xm:f>
          </x14:formula1>
          <xm:sqref>B2 B3 B4 B5 B6 B7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21"/>
  <sheetViews>
    <sheetView tabSelected="1" zoomScaleNormal="100" workbookViewId="0">
      <selection activeCell="S21" sqref="S21"/>
    </sheetView>
  </sheetViews>
  <sheetFormatPr baseColWidth="10" defaultColWidth="8.6640625" defaultRowHeight="14.4" x14ac:dyDescent="0.3"/>
  <cols>
    <col min="1" max="1" width="8" customWidth="1"/>
    <col min="2" max="2" width="14" customWidth="1"/>
    <col min="3" max="5" width="10" customWidth="1"/>
    <col min="6" max="6" width="14" customWidth="1"/>
    <col min="7" max="7" width="10" customWidth="1"/>
    <col min="8" max="8" width="12" customWidth="1"/>
    <col min="9" max="9" width="10" customWidth="1"/>
    <col min="11" max="11" width="16" customWidth="1"/>
    <col min="12" max="12" width="14" customWidth="1"/>
  </cols>
  <sheetData>
    <row r="1" spans="1:19" ht="15" customHeight="1" x14ac:dyDescent="0.3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23</v>
      </c>
      <c r="K1" s="5" t="s">
        <v>63</v>
      </c>
      <c r="L1" s="7" t="s">
        <v>108</v>
      </c>
    </row>
    <row r="2" spans="1:19" ht="15" customHeight="1" x14ac:dyDescent="0.3">
      <c r="A2" t="s">
        <v>64</v>
      </c>
      <c r="B2" s="8">
        <v>22</v>
      </c>
      <c r="C2" s="8">
        <v>27</v>
      </c>
      <c r="D2" s="8">
        <v>32</v>
      </c>
      <c r="E2" s="8">
        <v>37</v>
      </c>
      <c r="F2" s="8">
        <v>42</v>
      </c>
      <c r="G2" s="8">
        <v>47</v>
      </c>
      <c r="H2" s="8">
        <v>52</v>
      </c>
      <c r="I2" s="8">
        <f t="shared" ref="I2:I13" si="0">SUM(B2:H2)</f>
        <v>259</v>
      </c>
    </row>
    <row r="3" spans="1:19" ht="15" customHeight="1" x14ac:dyDescent="0.3">
      <c r="A3" t="s">
        <v>65</v>
      </c>
      <c r="B3" s="8">
        <v>23</v>
      </c>
      <c r="C3" s="8">
        <v>28</v>
      </c>
      <c r="D3" s="8">
        <v>33</v>
      </c>
      <c r="E3" s="8">
        <v>38</v>
      </c>
      <c r="F3" s="8">
        <v>43</v>
      </c>
      <c r="G3" s="8">
        <v>48</v>
      </c>
      <c r="H3" s="8">
        <v>53</v>
      </c>
      <c r="I3" s="8">
        <f t="shared" si="0"/>
        <v>266</v>
      </c>
      <c r="K3" s="13" t="s">
        <v>66</v>
      </c>
      <c r="L3" s="14"/>
      <c r="M3" s="14"/>
      <c r="N3" s="14"/>
      <c r="O3" s="14"/>
      <c r="P3" s="14"/>
      <c r="Q3" s="14"/>
      <c r="R3" s="14"/>
    </row>
    <row r="4" spans="1:19" ht="15" customHeight="1" x14ac:dyDescent="0.3">
      <c r="A4" t="s">
        <v>67</v>
      </c>
      <c r="B4" s="8">
        <v>24</v>
      </c>
      <c r="C4" s="8">
        <v>29</v>
      </c>
      <c r="D4" s="8">
        <v>34</v>
      </c>
      <c r="E4" s="8">
        <v>39</v>
      </c>
      <c r="F4" s="8">
        <v>44</v>
      </c>
      <c r="G4" s="8">
        <v>49</v>
      </c>
      <c r="H4" s="8">
        <v>54</v>
      </c>
      <c r="I4" s="8">
        <f t="shared" si="0"/>
        <v>273</v>
      </c>
      <c r="K4" s="1" t="str">
        <f t="shared" ref="K4:S4" si="1">A1</f>
        <v>Mes</v>
      </c>
      <c r="L4" s="1" t="str">
        <f t="shared" si="1"/>
        <v>Garum</v>
      </c>
      <c r="M4" s="1" t="str">
        <f t="shared" si="1"/>
        <v>Hermes</v>
      </c>
      <c r="N4" s="1" t="str">
        <f t="shared" si="1"/>
        <v>Lumen</v>
      </c>
      <c r="O4" s="1" t="str">
        <f t="shared" si="1"/>
        <v>Operis</v>
      </c>
      <c r="P4" s="1" t="str">
        <f t="shared" si="1"/>
        <v>Vigil</v>
      </c>
      <c r="Q4" s="1" t="str">
        <f t="shared" si="1"/>
        <v>Jano</v>
      </c>
      <c r="R4" s="1" t="str">
        <f t="shared" si="1"/>
        <v>Clasificador</v>
      </c>
      <c r="S4" s="1" t="str">
        <f t="shared" si="1"/>
        <v>TOTAL</v>
      </c>
    </row>
    <row r="5" spans="1:19" ht="15" customHeight="1" x14ac:dyDescent="0.3">
      <c r="A5" t="s">
        <v>68</v>
      </c>
      <c r="B5" s="8">
        <v>25</v>
      </c>
      <c r="C5" s="8">
        <v>30</v>
      </c>
      <c r="D5" s="8">
        <v>35</v>
      </c>
      <c r="E5" s="8">
        <v>40</v>
      </c>
      <c r="F5" s="8">
        <v>45</v>
      </c>
      <c r="G5" s="8">
        <v>50</v>
      </c>
      <c r="H5" s="8">
        <v>55</v>
      </c>
      <c r="I5" s="8">
        <f t="shared" si="0"/>
        <v>280</v>
      </c>
      <c r="K5" t="str">
        <f t="shared" ref="K5:K16" si="2">A2</f>
        <v>Ene</v>
      </c>
      <c r="L5" s="8">
        <f t="shared" ref="L5:L16" si="3">IF(OR($L$1="Todos",$L$1=L$4),B2,NA())</f>
        <v>22</v>
      </c>
      <c r="M5" s="8">
        <f t="shared" ref="M5:M16" si="4">IF(OR($L$1="Todos",$L$1=M$4),C2,NA())</f>
        <v>27</v>
      </c>
      <c r="N5" s="8">
        <f t="shared" ref="N5:N16" si="5">IF(OR($L$1="Todos",$L$1=N$4),D2,NA())</f>
        <v>32</v>
      </c>
      <c r="O5" s="8">
        <f t="shared" ref="O5:O16" si="6">IF(OR($L$1="Todos",$L$1=O$4),E2,NA())</f>
        <v>37</v>
      </c>
      <c r="P5" s="8">
        <f t="shared" ref="P5:P16" si="7">IF(OR($L$1="Todos",$L$1=P$4),F2,NA())</f>
        <v>42</v>
      </c>
      <c r="Q5" s="8">
        <f t="shared" ref="Q5:Q16" si="8">IF(OR($L$1="Todos",$L$1=Q$4),G2,NA())</f>
        <v>47</v>
      </c>
      <c r="R5" s="8">
        <f t="shared" ref="R5:R16" si="9">IF(OR($L$1="Todos",$L$1=R$4),H2,NA())</f>
        <v>52</v>
      </c>
      <c r="S5" s="8">
        <f t="shared" ref="S5:S16" si="10">IF(OR($L$1="Todos",$L$1=S$4),I2,NA())</f>
        <v>259</v>
      </c>
    </row>
    <row r="6" spans="1:19" ht="15" customHeight="1" x14ac:dyDescent="0.3">
      <c r="A6" t="s">
        <v>69</v>
      </c>
      <c r="B6" s="8">
        <v>26</v>
      </c>
      <c r="C6" s="8">
        <v>31</v>
      </c>
      <c r="D6" s="8">
        <v>36</v>
      </c>
      <c r="E6" s="8">
        <v>41</v>
      </c>
      <c r="F6" s="8">
        <v>46</v>
      </c>
      <c r="G6" s="8">
        <v>51</v>
      </c>
      <c r="H6" s="8">
        <v>56</v>
      </c>
      <c r="I6" s="8">
        <f t="shared" si="0"/>
        <v>287</v>
      </c>
      <c r="K6" t="str">
        <f t="shared" si="2"/>
        <v>Feb</v>
      </c>
      <c r="L6" s="8">
        <f t="shared" si="3"/>
        <v>23</v>
      </c>
      <c r="M6" s="8">
        <f t="shared" si="4"/>
        <v>28</v>
      </c>
      <c r="N6" s="8">
        <f t="shared" si="5"/>
        <v>33</v>
      </c>
      <c r="O6" s="8">
        <f t="shared" si="6"/>
        <v>38</v>
      </c>
      <c r="P6" s="8">
        <f t="shared" si="7"/>
        <v>43</v>
      </c>
      <c r="Q6" s="8">
        <f t="shared" si="8"/>
        <v>48</v>
      </c>
      <c r="R6" s="8">
        <f t="shared" si="9"/>
        <v>53</v>
      </c>
      <c r="S6" s="8">
        <f t="shared" si="10"/>
        <v>266</v>
      </c>
    </row>
    <row r="7" spans="1:19" ht="15" customHeight="1" x14ac:dyDescent="0.3">
      <c r="A7" t="s">
        <v>70</v>
      </c>
      <c r="B7" s="8">
        <v>27</v>
      </c>
      <c r="C7" s="8">
        <v>32</v>
      </c>
      <c r="D7" s="8">
        <v>37</v>
      </c>
      <c r="E7" s="8">
        <v>42</v>
      </c>
      <c r="F7" s="8">
        <v>47</v>
      </c>
      <c r="G7" s="8">
        <v>52</v>
      </c>
      <c r="H7" s="8">
        <v>57</v>
      </c>
      <c r="I7" s="8">
        <f t="shared" si="0"/>
        <v>294</v>
      </c>
      <c r="K7" t="str">
        <f t="shared" si="2"/>
        <v>Mar</v>
      </c>
      <c r="L7" s="8">
        <f t="shared" si="3"/>
        <v>24</v>
      </c>
      <c r="M7" s="8">
        <f t="shared" si="4"/>
        <v>29</v>
      </c>
      <c r="N7" s="8">
        <f t="shared" si="5"/>
        <v>34</v>
      </c>
      <c r="O7" s="8">
        <f t="shared" si="6"/>
        <v>39</v>
      </c>
      <c r="P7" s="8">
        <f t="shared" si="7"/>
        <v>44</v>
      </c>
      <c r="Q7" s="8">
        <f t="shared" si="8"/>
        <v>49</v>
      </c>
      <c r="R7" s="8">
        <f t="shared" si="9"/>
        <v>54</v>
      </c>
      <c r="S7" s="8">
        <f t="shared" si="10"/>
        <v>273</v>
      </c>
    </row>
    <row r="8" spans="1:19" ht="15" customHeight="1" x14ac:dyDescent="0.3">
      <c r="A8" t="s">
        <v>71</v>
      </c>
      <c r="B8" s="8">
        <v>28</v>
      </c>
      <c r="C8" s="8">
        <v>33</v>
      </c>
      <c r="D8" s="8">
        <v>38</v>
      </c>
      <c r="E8" s="8">
        <v>43</v>
      </c>
      <c r="F8" s="8">
        <v>48</v>
      </c>
      <c r="G8" s="8">
        <v>53</v>
      </c>
      <c r="H8" s="8">
        <v>58</v>
      </c>
      <c r="I8" s="8">
        <f t="shared" si="0"/>
        <v>301</v>
      </c>
      <c r="K8" t="str">
        <f t="shared" si="2"/>
        <v>Abr</v>
      </c>
      <c r="L8" s="8">
        <f t="shared" si="3"/>
        <v>25</v>
      </c>
      <c r="M8" s="8">
        <f t="shared" si="4"/>
        <v>30</v>
      </c>
      <c r="N8" s="8">
        <f t="shared" si="5"/>
        <v>35</v>
      </c>
      <c r="O8" s="8">
        <f t="shared" si="6"/>
        <v>40</v>
      </c>
      <c r="P8" s="8">
        <f t="shared" si="7"/>
        <v>45</v>
      </c>
      <c r="Q8" s="8">
        <f t="shared" si="8"/>
        <v>50</v>
      </c>
      <c r="R8" s="8">
        <f t="shared" si="9"/>
        <v>55</v>
      </c>
      <c r="S8" s="8">
        <f t="shared" si="10"/>
        <v>280</v>
      </c>
    </row>
    <row r="9" spans="1:19" ht="15" customHeight="1" x14ac:dyDescent="0.3">
      <c r="A9" t="s">
        <v>72</v>
      </c>
      <c r="B9" s="8">
        <v>29</v>
      </c>
      <c r="C9" s="8">
        <v>34</v>
      </c>
      <c r="D9" s="8">
        <v>39</v>
      </c>
      <c r="E9" s="8">
        <v>44</v>
      </c>
      <c r="F9" s="8">
        <v>49</v>
      </c>
      <c r="G9" s="8">
        <v>54</v>
      </c>
      <c r="H9" s="8">
        <v>59</v>
      </c>
      <c r="I9" s="8">
        <f t="shared" si="0"/>
        <v>308</v>
      </c>
      <c r="K9" t="str">
        <f t="shared" si="2"/>
        <v>May</v>
      </c>
      <c r="L9" s="8">
        <f t="shared" si="3"/>
        <v>26</v>
      </c>
      <c r="M9" s="8">
        <f t="shared" si="4"/>
        <v>31</v>
      </c>
      <c r="N9" s="8">
        <f t="shared" si="5"/>
        <v>36</v>
      </c>
      <c r="O9" s="8">
        <f t="shared" si="6"/>
        <v>41</v>
      </c>
      <c r="P9" s="8">
        <f t="shared" si="7"/>
        <v>46</v>
      </c>
      <c r="Q9" s="8">
        <f t="shared" si="8"/>
        <v>51</v>
      </c>
      <c r="R9" s="8">
        <f t="shared" si="9"/>
        <v>56</v>
      </c>
      <c r="S9" s="8">
        <f t="shared" si="10"/>
        <v>287</v>
      </c>
    </row>
    <row r="10" spans="1:19" ht="15" customHeight="1" x14ac:dyDescent="0.3">
      <c r="A10" t="s">
        <v>73</v>
      </c>
      <c r="B10" s="8">
        <v>30</v>
      </c>
      <c r="C10" s="8">
        <v>35</v>
      </c>
      <c r="D10" s="8">
        <v>40</v>
      </c>
      <c r="E10" s="8">
        <v>45</v>
      </c>
      <c r="F10" s="8">
        <v>50</v>
      </c>
      <c r="G10" s="8">
        <v>55</v>
      </c>
      <c r="H10" s="8">
        <v>60</v>
      </c>
      <c r="I10" s="8">
        <f t="shared" si="0"/>
        <v>315</v>
      </c>
      <c r="K10" t="str">
        <f t="shared" si="2"/>
        <v>Jun</v>
      </c>
      <c r="L10" s="8">
        <f t="shared" si="3"/>
        <v>27</v>
      </c>
      <c r="M10" s="8">
        <f t="shared" si="4"/>
        <v>32</v>
      </c>
      <c r="N10" s="8">
        <f t="shared" si="5"/>
        <v>37</v>
      </c>
      <c r="O10" s="8">
        <f t="shared" si="6"/>
        <v>42</v>
      </c>
      <c r="P10" s="8">
        <f t="shared" si="7"/>
        <v>47</v>
      </c>
      <c r="Q10" s="8">
        <f t="shared" si="8"/>
        <v>52</v>
      </c>
      <c r="R10" s="8">
        <f t="shared" si="9"/>
        <v>57</v>
      </c>
      <c r="S10" s="8">
        <f t="shared" si="10"/>
        <v>294</v>
      </c>
    </row>
    <row r="11" spans="1:19" ht="15" customHeight="1" x14ac:dyDescent="0.3">
      <c r="A11" t="s">
        <v>74</v>
      </c>
      <c r="B11" s="8">
        <v>31</v>
      </c>
      <c r="C11" s="8">
        <v>36</v>
      </c>
      <c r="D11" s="8">
        <v>41</v>
      </c>
      <c r="E11" s="8">
        <v>46</v>
      </c>
      <c r="F11" s="8">
        <v>51</v>
      </c>
      <c r="G11" s="8">
        <v>56</v>
      </c>
      <c r="H11" s="8">
        <v>61</v>
      </c>
      <c r="I11" s="8">
        <f t="shared" si="0"/>
        <v>322</v>
      </c>
      <c r="K11" t="str">
        <f t="shared" si="2"/>
        <v>Jul</v>
      </c>
      <c r="L11" s="8">
        <f t="shared" si="3"/>
        <v>28</v>
      </c>
      <c r="M11" s="8">
        <f t="shared" si="4"/>
        <v>33</v>
      </c>
      <c r="N11" s="8">
        <f t="shared" si="5"/>
        <v>38</v>
      </c>
      <c r="O11" s="8">
        <f t="shared" si="6"/>
        <v>43</v>
      </c>
      <c r="P11" s="8">
        <f t="shared" si="7"/>
        <v>48</v>
      </c>
      <c r="Q11" s="8">
        <f t="shared" si="8"/>
        <v>53</v>
      </c>
      <c r="R11" s="8">
        <f t="shared" si="9"/>
        <v>58</v>
      </c>
      <c r="S11" s="8">
        <f t="shared" si="10"/>
        <v>301</v>
      </c>
    </row>
    <row r="12" spans="1:19" ht="15" customHeight="1" x14ac:dyDescent="0.3">
      <c r="A12" t="s">
        <v>75</v>
      </c>
      <c r="B12" s="8">
        <v>32</v>
      </c>
      <c r="C12" s="8">
        <v>37</v>
      </c>
      <c r="D12" s="8">
        <v>42</v>
      </c>
      <c r="E12" s="8">
        <v>47</v>
      </c>
      <c r="F12" s="8">
        <v>52</v>
      </c>
      <c r="G12" s="8">
        <v>57</v>
      </c>
      <c r="H12" s="8">
        <v>62</v>
      </c>
      <c r="I12" s="8">
        <f t="shared" si="0"/>
        <v>329</v>
      </c>
      <c r="K12" t="str">
        <f t="shared" si="2"/>
        <v>Ago</v>
      </c>
      <c r="L12" s="8">
        <f t="shared" si="3"/>
        <v>29</v>
      </c>
      <c r="M12" s="8">
        <f t="shared" si="4"/>
        <v>34</v>
      </c>
      <c r="N12" s="8">
        <f t="shared" si="5"/>
        <v>39</v>
      </c>
      <c r="O12" s="8">
        <f t="shared" si="6"/>
        <v>44</v>
      </c>
      <c r="P12" s="8">
        <f t="shared" si="7"/>
        <v>49</v>
      </c>
      <c r="Q12" s="8">
        <f t="shared" si="8"/>
        <v>54</v>
      </c>
      <c r="R12" s="8">
        <f t="shared" si="9"/>
        <v>59</v>
      </c>
      <c r="S12" s="8">
        <f t="shared" si="10"/>
        <v>308</v>
      </c>
    </row>
    <row r="13" spans="1:19" ht="15" customHeight="1" x14ac:dyDescent="0.3">
      <c r="A13" t="s">
        <v>76</v>
      </c>
      <c r="B13" s="8">
        <v>33</v>
      </c>
      <c r="C13" s="8">
        <v>38</v>
      </c>
      <c r="D13" s="8">
        <v>43</v>
      </c>
      <c r="E13" s="8">
        <v>48</v>
      </c>
      <c r="F13" s="8">
        <v>53</v>
      </c>
      <c r="G13" s="8">
        <v>58</v>
      </c>
      <c r="H13" s="8">
        <v>63</v>
      </c>
      <c r="I13" s="8">
        <f t="shared" si="0"/>
        <v>336</v>
      </c>
      <c r="K13" t="str">
        <f t="shared" si="2"/>
        <v>Sep</v>
      </c>
      <c r="L13" s="8">
        <f t="shared" si="3"/>
        <v>30</v>
      </c>
      <c r="M13" s="8">
        <f t="shared" si="4"/>
        <v>35</v>
      </c>
      <c r="N13" s="8">
        <f t="shared" si="5"/>
        <v>40</v>
      </c>
      <c r="O13" s="8">
        <f t="shared" si="6"/>
        <v>45</v>
      </c>
      <c r="P13" s="8">
        <f t="shared" si="7"/>
        <v>50</v>
      </c>
      <c r="Q13" s="8">
        <f t="shared" si="8"/>
        <v>55</v>
      </c>
      <c r="R13" s="8">
        <f t="shared" si="9"/>
        <v>60</v>
      </c>
      <c r="S13" s="8">
        <f t="shared" si="10"/>
        <v>315</v>
      </c>
    </row>
    <row r="14" spans="1:19" ht="15" customHeight="1" x14ac:dyDescent="0.3">
      <c r="K14" t="str">
        <f t="shared" si="2"/>
        <v>Oct</v>
      </c>
      <c r="L14" s="8">
        <f t="shared" si="3"/>
        <v>31</v>
      </c>
      <c r="M14" s="8">
        <f t="shared" si="4"/>
        <v>36</v>
      </c>
      <c r="N14" s="8">
        <f t="shared" si="5"/>
        <v>41</v>
      </c>
      <c r="O14" s="8">
        <f t="shared" si="6"/>
        <v>46</v>
      </c>
      <c r="P14" s="8">
        <f t="shared" si="7"/>
        <v>51</v>
      </c>
      <c r="Q14" s="8">
        <f t="shared" si="8"/>
        <v>56</v>
      </c>
      <c r="R14" s="8">
        <f t="shared" si="9"/>
        <v>61</v>
      </c>
      <c r="S14" s="8">
        <f t="shared" si="10"/>
        <v>322</v>
      </c>
    </row>
    <row r="15" spans="1:19" ht="15" customHeight="1" x14ac:dyDescent="0.3">
      <c r="K15" t="str">
        <f t="shared" si="2"/>
        <v>Nov</v>
      </c>
      <c r="L15" s="8">
        <f t="shared" si="3"/>
        <v>32</v>
      </c>
      <c r="M15" s="8">
        <f t="shared" si="4"/>
        <v>37</v>
      </c>
      <c r="N15" s="8">
        <f t="shared" si="5"/>
        <v>42</v>
      </c>
      <c r="O15" s="8">
        <f t="shared" si="6"/>
        <v>47</v>
      </c>
      <c r="P15" s="8">
        <f t="shared" si="7"/>
        <v>52</v>
      </c>
      <c r="Q15" s="8">
        <f t="shared" si="8"/>
        <v>57</v>
      </c>
      <c r="R15" s="8">
        <f t="shared" si="9"/>
        <v>62</v>
      </c>
      <c r="S15" s="8">
        <f t="shared" si="10"/>
        <v>329</v>
      </c>
    </row>
    <row r="16" spans="1:19" ht="15" customHeight="1" x14ac:dyDescent="0.3">
      <c r="K16" t="str">
        <f t="shared" si="2"/>
        <v>Dic</v>
      </c>
      <c r="L16" s="8">
        <f t="shared" si="3"/>
        <v>33</v>
      </c>
      <c r="M16" s="8">
        <f t="shared" si="4"/>
        <v>38</v>
      </c>
      <c r="N16" s="8">
        <f t="shared" si="5"/>
        <v>43</v>
      </c>
      <c r="O16" s="8">
        <f t="shared" si="6"/>
        <v>48</v>
      </c>
      <c r="P16" s="8">
        <f t="shared" si="7"/>
        <v>53</v>
      </c>
      <c r="Q16" s="8">
        <f t="shared" si="8"/>
        <v>58</v>
      </c>
      <c r="R16" s="8">
        <f t="shared" si="9"/>
        <v>63</v>
      </c>
      <c r="S16" s="8">
        <f t="shared" si="10"/>
        <v>336</v>
      </c>
    </row>
    <row r="21" spans="19:19" x14ac:dyDescent="0.3">
      <c r="S21" s="27"/>
    </row>
  </sheetData>
  <mergeCells count="1">
    <mergeCell ref="K3:R3"/>
  </mergeCells>
  <dataValidations count="1">
    <dataValidation type="list" sqref="L1" xr:uid="{00000000-0002-0000-0500-000000000000}">
      <formula1>"Todos,Garum,Hermes,Lumen,Operis,Vigil,Jano,TOTAL"</formula1>
    </dataValidation>
  </dataValidations>
  <pageMargins left="0.3" right="0.3" top="0.4" bottom="0.4" header="0.5" footer="0.5"/>
  <pageSetup paperSize="9"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48"/>
  <sheetViews>
    <sheetView zoomScaleNormal="100" workbookViewId="0">
      <selection activeCell="D13" sqref="D13"/>
    </sheetView>
  </sheetViews>
  <sheetFormatPr baseColWidth="10" defaultColWidth="8.6640625" defaultRowHeight="14.4" x14ac:dyDescent="0.3"/>
  <cols>
    <col min="1" max="2" width="16" customWidth="1"/>
    <col min="3" max="3" width="14" customWidth="1"/>
    <col min="4" max="4" width="18" customWidth="1"/>
    <col min="5" max="5" width="22" customWidth="1"/>
    <col min="7" max="10" width="13" hidden="1" customWidth="1"/>
  </cols>
  <sheetData>
    <row r="1" spans="1:10" ht="15" customHeight="1" x14ac:dyDescent="0.3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G1" t="s">
        <v>81</v>
      </c>
      <c r="H1" t="s">
        <v>82</v>
      </c>
      <c r="I1" t="s">
        <v>83</v>
      </c>
      <c r="J1" t="s">
        <v>84</v>
      </c>
    </row>
    <row r="2" spans="1:10" ht="15" customHeight="1" x14ac:dyDescent="0.3">
      <c r="A2" t="str">
        <f>Agentes!A2</f>
        <v>Garum (Gestor Correos)</v>
      </c>
      <c r="B2" s="4">
        <f>Agentes!O2</f>
        <v>1.81995</v>
      </c>
      <c r="C2" s="4">
        <f>Agentes!P2</f>
        <v>21.839399999999998</v>
      </c>
      <c r="D2" s="2">
        <f>Agentes!O2/Agentes!E2</f>
        <v>1.103E-3</v>
      </c>
      <c r="E2" s="4">
        <f>Agentes!O2/((Agentes!I2+Agentes!J2)/1000000)</f>
        <v>0.64882352941176469</v>
      </c>
      <c r="G2">
        <f t="shared" ref="G2:J8" si="0">B2+(ROW()-2)*0.0000001</f>
        <v>1.81995</v>
      </c>
      <c r="H2">
        <f t="shared" si="0"/>
        <v>21.839399999999998</v>
      </c>
      <c r="I2">
        <f t="shared" si="0"/>
        <v>1.103E-3</v>
      </c>
      <c r="J2">
        <f t="shared" si="0"/>
        <v>0.64882352941176469</v>
      </c>
    </row>
    <row r="3" spans="1:10" ht="15" customHeight="1" x14ac:dyDescent="0.3">
      <c r="A3" t="str">
        <f>Agentes!A3</f>
        <v>Hermes (Telegram)</v>
      </c>
      <c r="B3" s="4">
        <f>Agentes!O3</f>
        <v>0.53190000000000004</v>
      </c>
      <c r="C3" s="4">
        <f>Agentes!P3</f>
        <v>6.3828000000000005</v>
      </c>
      <c r="D3" s="2">
        <f>Agentes!O3/Agentes!E3</f>
        <v>8.8650000000000003E-4</v>
      </c>
      <c r="E3" s="4">
        <f>Agentes!O3/((Agentes!I3+Agentes!J3)/1000000)</f>
        <v>0.65666666666666662</v>
      </c>
      <c r="G3">
        <f t="shared" si="0"/>
        <v>0.53190009999999999</v>
      </c>
      <c r="H3">
        <f t="shared" si="0"/>
        <v>6.3828001000000008</v>
      </c>
      <c r="I3">
        <f t="shared" si="0"/>
        <v>8.8659999999999997E-4</v>
      </c>
      <c r="J3">
        <f t="shared" si="0"/>
        <v>0.65666676666666657</v>
      </c>
    </row>
    <row r="4" spans="1:10" ht="15" customHeight="1" x14ac:dyDescent="0.3">
      <c r="A4" t="str">
        <f>Agentes!A4</f>
        <v>Lumen (consultas)</v>
      </c>
      <c r="B4" s="4">
        <f>Agentes!O4</f>
        <v>3.2789999999999999</v>
      </c>
      <c r="C4" s="4">
        <f>Agentes!P4</f>
        <v>39.347999999999999</v>
      </c>
      <c r="D4" s="2">
        <f>Agentes!O4/Agentes!E4</f>
        <v>2.186E-3</v>
      </c>
      <c r="E4" s="4">
        <f>Agentes!O4/((Agentes!I4+Agentes!J4)/1000000)</f>
        <v>0.64294117647058824</v>
      </c>
      <c r="G4">
        <f t="shared" si="0"/>
        <v>3.2790002</v>
      </c>
      <c r="H4">
        <f t="shared" si="0"/>
        <v>39.348000200000001</v>
      </c>
      <c r="I4">
        <f t="shared" si="0"/>
        <v>2.1862000000000001E-3</v>
      </c>
      <c r="J4">
        <f t="shared" si="0"/>
        <v>0.64294137647058824</v>
      </c>
    </row>
    <row r="5" spans="1:10" ht="15" customHeight="1" x14ac:dyDescent="0.3">
      <c r="A5" t="str">
        <f>Agentes!A5</f>
        <v>Operis (autorellenado)</v>
      </c>
      <c r="B5" s="4">
        <f>Agentes!O5</f>
        <v>0.28949999999999998</v>
      </c>
      <c r="C5" s="4">
        <f>Agentes!P5</f>
        <v>3.4739999999999998</v>
      </c>
      <c r="D5" s="2">
        <f>Agentes!O5/Agentes!E5</f>
        <v>9.6499999999999993E-4</v>
      </c>
      <c r="E5" s="4">
        <f>Agentes!O5/((Agentes!I5+Agentes!J5)/1000000)</f>
        <v>0.64333333333333331</v>
      </c>
      <c r="G5">
        <f t="shared" si="0"/>
        <v>0.28950029999999999</v>
      </c>
      <c r="H5">
        <f t="shared" si="0"/>
        <v>3.4740002999999997</v>
      </c>
      <c r="I5">
        <f t="shared" si="0"/>
        <v>9.6529999999999988E-4</v>
      </c>
      <c r="J5">
        <f t="shared" si="0"/>
        <v>0.64333363333333327</v>
      </c>
    </row>
    <row r="6" spans="1:10" ht="15" customHeight="1" x14ac:dyDescent="0.3">
      <c r="A6" t="str">
        <f>Agentes!A6</f>
        <v>Vigil (concursos)</v>
      </c>
      <c r="B6" s="4">
        <f>Agentes!O6</f>
        <v>4.9619999999999997E-2</v>
      </c>
      <c r="C6" s="4">
        <f>Agentes!P6</f>
        <v>0.59543999999999997</v>
      </c>
      <c r="D6" s="2">
        <f>Agentes!O6/Agentes!E6</f>
        <v>8.2699999999999994E-4</v>
      </c>
      <c r="E6" s="4">
        <f>Agentes!O6/((Agentes!I6+Agentes!J6)/1000000)</f>
        <v>0.63615384615384607</v>
      </c>
      <c r="G6">
        <f t="shared" si="0"/>
        <v>4.9620399999999995E-2</v>
      </c>
      <c r="H6">
        <f t="shared" si="0"/>
        <v>0.59544039999999998</v>
      </c>
      <c r="I6">
        <f t="shared" si="0"/>
        <v>8.2739999999999995E-4</v>
      </c>
      <c r="J6">
        <f t="shared" si="0"/>
        <v>0.63615424615384608</v>
      </c>
    </row>
    <row r="7" spans="1:10" ht="15" customHeight="1" x14ac:dyDescent="0.3">
      <c r="A7" t="str">
        <f>Agentes!A7</f>
        <v>Jano (viajes)</v>
      </c>
      <c r="B7" s="4">
        <f>Agentes!O7</f>
        <v>0.72675000000000001</v>
      </c>
      <c r="C7" s="4">
        <f>Agentes!P7</f>
        <v>8.7210000000000001</v>
      </c>
      <c r="D7" s="2">
        <f>Agentes!O7/Agentes!E7</f>
        <v>1.6150000000000001E-3</v>
      </c>
      <c r="E7" s="4">
        <f>Agentes!O7/((Agentes!I7+Agentes!J7)/1000000)</f>
        <v>0.64600000000000002</v>
      </c>
      <c r="G7">
        <f t="shared" si="0"/>
        <v>0.72675049999999997</v>
      </c>
      <c r="H7">
        <f t="shared" si="0"/>
        <v>8.7210005000000006</v>
      </c>
      <c r="I7">
        <f t="shared" si="0"/>
        <v>1.6155000000000002E-3</v>
      </c>
      <c r="J7">
        <f t="shared" si="0"/>
        <v>0.64600049999999998</v>
      </c>
    </row>
    <row r="8" spans="1:10" ht="15" customHeight="1" x14ac:dyDescent="0.3">
      <c r="B8" s="4"/>
      <c r="C8" s="4"/>
      <c r="D8" s="2"/>
      <c r="E8" s="4"/>
      <c r="G8">
        <f t="shared" si="0"/>
        <v>5.9999999999999997E-7</v>
      </c>
      <c r="H8">
        <f t="shared" si="0"/>
        <v>5.9999999999999997E-7</v>
      </c>
      <c r="I8">
        <f t="shared" si="0"/>
        <v>5.9999999999999997E-7</v>
      </c>
      <c r="J8">
        <f t="shared" si="0"/>
        <v>5.9999999999999997E-7</v>
      </c>
    </row>
    <row r="10" spans="1:10" ht="15" customHeight="1" x14ac:dyDescent="0.3">
      <c r="A10" s="13" t="s">
        <v>85</v>
      </c>
      <c r="B10" s="14"/>
      <c r="C10" s="14"/>
    </row>
    <row r="11" spans="1:10" ht="15" customHeight="1" x14ac:dyDescent="0.3">
      <c r="A11" s="1" t="s">
        <v>86</v>
      </c>
      <c r="B11" s="1" t="s">
        <v>0</v>
      </c>
      <c r="C11" s="1" t="s">
        <v>77</v>
      </c>
    </row>
    <row r="12" spans="1:10" ht="15" customHeight="1" x14ac:dyDescent="0.3">
      <c r="A12">
        <v>1</v>
      </c>
      <c r="B12" t="str">
        <f>INDEX($A$2:$A$8,MATCH(LARGE($G$2:$G$8,1),$G$2:$G$8,0))</f>
        <v>Lumen (consultas)</v>
      </c>
      <c r="C12" s="4">
        <f>LARGE($G$2:$G$8,1)</f>
        <v>3.2790002</v>
      </c>
    </row>
    <row r="13" spans="1:10" ht="15" customHeight="1" x14ac:dyDescent="0.3">
      <c r="A13">
        <v>2</v>
      </c>
      <c r="B13" t="str">
        <f>INDEX($A$2:$A$8,MATCH(LARGE($G$2:$G$8,2),$G$2:$G$8,0))</f>
        <v>Garum (Gestor Correos)</v>
      </c>
      <c r="C13" s="4">
        <f>LARGE($G$2:$G$8,2)</f>
        <v>1.81995</v>
      </c>
    </row>
    <row r="14" spans="1:10" ht="15" customHeight="1" x14ac:dyDescent="0.3">
      <c r="A14">
        <v>3</v>
      </c>
      <c r="B14" t="str">
        <f>INDEX($A$2:$A$8,MATCH(LARGE($G$2:$G$8,3),$G$2:$G$8,0))</f>
        <v>Jano (viajes)</v>
      </c>
      <c r="C14" s="4">
        <f>LARGE($G$2:$G$8,3)</f>
        <v>0.72675049999999997</v>
      </c>
    </row>
    <row r="15" spans="1:10" ht="15" customHeight="1" x14ac:dyDescent="0.3">
      <c r="A15">
        <v>4</v>
      </c>
      <c r="B15" t="str">
        <f>INDEX($A$2:$A$8,MATCH(LARGE($G$2:$G$8,4),$G$2:$G$8,0))</f>
        <v>Hermes (Telegram)</v>
      </c>
      <c r="C15" s="4">
        <f>LARGE($G$2:$G$8,4)</f>
        <v>0.53190009999999999</v>
      </c>
    </row>
    <row r="16" spans="1:10" ht="15" customHeight="1" x14ac:dyDescent="0.3">
      <c r="A16">
        <v>5</v>
      </c>
      <c r="B16" t="str">
        <f>INDEX($A$2:$A$8,MATCH(LARGE($G$2:$G$8,5),$G$2:$G$8,0))</f>
        <v>Operis (autorellenado)</v>
      </c>
      <c r="C16" s="4">
        <f>LARGE($G$2:$G$8,5)</f>
        <v>0.28950029999999999</v>
      </c>
    </row>
    <row r="17" spans="1:3" ht="15" customHeight="1" x14ac:dyDescent="0.3">
      <c r="A17">
        <v>6</v>
      </c>
      <c r="B17" t="str">
        <f>INDEX($A$2:$A$8,MATCH(LARGE($G$2:$G$8,6),$G$2:$G$8,0))</f>
        <v>Vigil (concursos)</v>
      </c>
      <c r="C17" s="4">
        <f>LARGE($G$2:$G$8,6)</f>
        <v>4.9620399999999995E-2</v>
      </c>
    </row>
    <row r="18" spans="1:3" ht="15" customHeight="1" x14ac:dyDescent="0.3">
      <c r="A18">
        <v>7</v>
      </c>
      <c r="B18">
        <f>INDEX($A$2:$A$8,MATCH(LARGE($G$2:$G$8,7),$G$2:$G$8,0))</f>
        <v>0</v>
      </c>
      <c r="C18" s="4">
        <f>LARGE($G$2:$G$8,7)</f>
        <v>5.9999999999999997E-7</v>
      </c>
    </row>
    <row r="20" spans="1:3" ht="15" customHeight="1" x14ac:dyDescent="0.3">
      <c r="A20" s="13" t="s">
        <v>87</v>
      </c>
      <c r="B20" s="14"/>
      <c r="C20" s="14"/>
    </row>
    <row r="21" spans="1:3" ht="15" customHeight="1" x14ac:dyDescent="0.3">
      <c r="A21" s="1" t="s">
        <v>86</v>
      </c>
      <c r="B21" s="1" t="s">
        <v>0</v>
      </c>
      <c r="C21" s="1" t="s">
        <v>78</v>
      </c>
    </row>
    <row r="22" spans="1:3" ht="15" customHeight="1" x14ac:dyDescent="0.3">
      <c r="A22">
        <v>1</v>
      </c>
      <c r="B22" t="str">
        <f>INDEX($A$2:$A$8,MATCH(LARGE($H$2:$H$8,1),$H$2:$H$8,0))</f>
        <v>Lumen (consultas)</v>
      </c>
      <c r="C22" s="4">
        <f>LARGE($H$2:$H$8,1)</f>
        <v>39.348000200000001</v>
      </c>
    </row>
    <row r="23" spans="1:3" ht="15" customHeight="1" x14ac:dyDescent="0.3">
      <c r="A23">
        <v>2</v>
      </c>
      <c r="B23" t="str">
        <f>INDEX($A$2:$A$8,MATCH(LARGE($H$2:$H$8,2),$H$2:$H$8,0))</f>
        <v>Garum (Gestor Correos)</v>
      </c>
      <c r="C23" s="4">
        <f>LARGE($H$2:$H$8,2)</f>
        <v>21.839399999999998</v>
      </c>
    </row>
    <row r="24" spans="1:3" ht="15" customHeight="1" x14ac:dyDescent="0.3">
      <c r="A24">
        <v>3</v>
      </c>
      <c r="B24" t="str">
        <f>INDEX($A$2:$A$8,MATCH(LARGE($H$2:$H$8,3),$H$2:$H$8,0))</f>
        <v>Jano (viajes)</v>
      </c>
      <c r="C24" s="4">
        <f>LARGE($H$2:$H$8,3)</f>
        <v>8.7210005000000006</v>
      </c>
    </row>
    <row r="25" spans="1:3" ht="15" customHeight="1" x14ac:dyDescent="0.3">
      <c r="A25">
        <v>4</v>
      </c>
      <c r="B25" t="str">
        <f>INDEX($A$2:$A$8,MATCH(LARGE($H$2:$H$8,4),$H$2:$H$8,0))</f>
        <v>Hermes (Telegram)</v>
      </c>
      <c r="C25" s="4">
        <f>LARGE($H$2:$H$8,4)</f>
        <v>6.3828001000000008</v>
      </c>
    </row>
    <row r="26" spans="1:3" ht="15" customHeight="1" x14ac:dyDescent="0.3">
      <c r="A26">
        <v>5</v>
      </c>
      <c r="B26" t="str">
        <f>INDEX($A$2:$A$8,MATCH(LARGE($H$2:$H$8,5),$H$2:$H$8,0))</f>
        <v>Operis (autorellenado)</v>
      </c>
      <c r="C26" s="4">
        <f>LARGE($H$2:$H$8,5)</f>
        <v>3.4740002999999997</v>
      </c>
    </row>
    <row r="27" spans="1:3" ht="15" customHeight="1" x14ac:dyDescent="0.3">
      <c r="A27">
        <v>6</v>
      </c>
      <c r="B27" t="str">
        <f>INDEX($A$2:$A$8,MATCH(LARGE($H$2:$H$8,6),$H$2:$H$8,0))</f>
        <v>Vigil (concursos)</v>
      </c>
      <c r="C27" s="4">
        <f>LARGE($H$2:$H$8,6)</f>
        <v>0.59544039999999998</v>
      </c>
    </row>
    <row r="28" spans="1:3" ht="15" customHeight="1" x14ac:dyDescent="0.3">
      <c r="A28">
        <v>7</v>
      </c>
      <c r="B28">
        <f>INDEX($A$2:$A$8,MATCH(LARGE($H$2:$H$8,7),$H$2:$H$8,0))</f>
        <v>0</v>
      </c>
      <c r="C28" s="4">
        <f>LARGE($H$2:$H$8,7)</f>
        <v>5.9999999999999997E-7</v>
      </c>
    </row>
    <row r="30" spans="1:3" ht="15" customHeight="1" x14ac:dyDescent="0.3">
      <c r="A30" s="13" t="s">
        <v>88</v>
      </c>
      <c r="B30" s="14"/>
      <c r="C30" s="14"/>
    </row>
    <row r="31" spans="1:3" ht="15" customHeight="1" x14ac:dyDescent="0.3">
      <c r="A31" s="1" t="s">
        <v>86</v>
      </c>
      <c r="B31" s="1" t="s">
        <v>0</v>
      </c>
      <c r="C31" s="1" t="s">
        <v>79</v>
      </c>
    </row>
    <row r="32" spans="1:3" ht="15" customHeight="1" x14ac:dyDescent="0.3">
      <c r="A32">
        <v>1</v>
      </c>
      <c r="B32" t="str">
        <f>INDEX($A$2:$A$8,MATCH(LARGE($I$2:$I$8,1),$I$2:$I$8,0))</f>
        <v>Lumen (consultas)</v>
      </c>
      <c r="C32" s="2">
        <f>LARGE($I$2:$I$8,1)</f>
        <v>2.1862000000000001E-3</v>
      </c>
    </row>
    <row r="33" spans="1:3" ht="15" customHeight="1" x14ac:dyDescent="0.3">
      <c r="A33">
        <v>2</v>
      </c>
      <c r="B33" t="str">
        <f>INDEX($A$2:$A$8,MATCH(LARGE($I$2:$I$8,2),$I$2:$I$8,0))</f>
        <v>Jano (viajes)</v>
      </c>
      <c r="C33" s="2">
        <f>LARGE($I$2:$I$8,2)</f>
        <v>1.6155000000000002E-3</v>
      </c>
    </row>
    <row r="34" spans="1:3" ht="15" customHeight="1" x14ac:dyDescent="0.3">
      <c r="A34">
        <v>3</v>
      </c>
      <c r="B34" t="str">
        <f>INDEX($A$2:$A$8,MATCH(LARGE($I$2:$I$8,3),$I$2:$I$8,0))</f>
        <v>Garum (Gestor Correos)</v>
      </c>
      <c r="C34" s="2">
        <f>LARGE($I$2:$I$8,3)</f>
        <v>1.103E-3</v>
      </c>
    </row>
    <row r="35" spans="1:3" ht="15" customHeight="1" x14ac:dyDescent="0.3">
      <c r="A35">
        <v>4</v>
      </c>
      <c r="B35" t="str">
        <f>INDEX($A$2:$A$8,MATCH(LARGE($I$2:$I$8,4),$I$2:$I$8,0))</f>
        <v>Operis (autorellenado)</v>
      </c>
      <c r="C35" s="2">
        <f>LARGE($I$2:$I$8,4)</f>
        <v>9.6529999999999988E-4</v>
      </c>
    </row>
    <row r="36" spans="1:3" ht="15" customHeight="1" x14ac:dyDescent="0.3">
      <c r="A36">
        <v>5</v>
      </c>
      <c r="B36" t="str">
        <f>INDEX($A$2:$A$8,MATCH(LARGE($I$2:$I$8,5),$I$2:$I$8,0))</f>
        <v>Hermes (Telegram)</v>
      </c>
      <c r="C36" s="2">
        <f>LARGE($I$2:$I$8,5)</f>
        <v>8.8659999999999997E-4</v>
      </c>
    </row>
    <row r="37" spans="1:3" ht="15" customHeight="1" x14ac:dyDescent="0.3">
      <c r="A37">
        <v>6</v>
      </c>
      <c r="B37" t="str">
        <f>INDEX($A$2:$A$8,MATCH(LARGE($I$2:$I$8,6),$I$2:$I$8,0))</f>
        <v>Vigil (concursos)</v>
      </c>
      <c r="C37" s="2">
        <f>LARGE($I$2:$I$8,6)</f>
        <v>8.2739999999999995E-4</v>
      </c>
    </row>
    <row r="38" spans="1:3" ht="15" customHeight="1" x14ac:dyDescent="0.3">
      <c r="A38">
        <v>7</v>
      </c>
      <c r="B38">
        <f>INDEX($A$2:$A$8,MATCH(LARGE($I$2:$I$8,7),$I$2:$I$8,0))</f>
        <v>0</v>
      </c>
      <c r="C38" s="2">
        <f>LARGE($I$2:$I$8,7)</f>
        <v>5.9999999999999997E-7</v>
      </c>
    </row>
    <row r="40" spans="1:3" ht="15" customHeight="1" x14ac:dyDescent="0.3">
      <c r="A40" s="13" t="s">
        <v>89</v>
      </c>
      <c r="B40" s="14"/>
      <c r="C40" s="14"/>
    </row>
    <row r="41" spans="1:3" ht="15" customHeight="1" x14ac:dyDescent="0.3">
      <c r="A41" s="1" t="s">
        <v>86</v>
      </c>
      <c r="B41" s="1" t="s">
        <v>0</v>
      </c>
      <c r="C41" s="1" t="s">
        <v>80</v>
      </c>
    </row>
    <row r="42" spans="1:3" ht="15" customHeight="1" x14ac:dyDescent="0.3">
      <c r="A42">
        <v>1</v>
      </c>
      <c r="B42" t="str">
        <f>INDEX($A$2:$A$8,MATCH(LARGE($J$2:$J$8,1),$J$2:$J$8,0))</f>
        <v>Hermes (Telegram)</v>
      </c>
      <c r="C42" s="4">
        <f>LARGE($J$2:$J$8,1)</f>
        <v>0.65666676666666657</v>
      </c>
    </row>
    <row r="43" spans="1:3" ht="15" customHeight="1" x14ac:dyDescent="0.3">
      <c r="A43">
        <v>2</v>
      </c>
      <c r="B43" t="str">
        <f>INDEX($A$2:$A$8,MATCH(LARGE($J$2:$J$8,2),$J$2:$J$8,0))</f>
        <v>Garum (Gestor Correos)</v>
      </c>
      <c r="C43" s="4">
        <f>LARGE($J$2:$J$8,2)</f>
        <v>0.64882352941176469</v>
      </c>
    </row>
    <row r="44" spans="1:3" ht="15" customHeight="1" x14ac:dyDescent="0.3">
      <c r="A44">
        <v>3</v>
      </c>
      <c r="B44" t="str">
        <f>INDEX($A$2:$A$8,MATCH(LARGE($J$2:$J$8,3),$J$2:$J$8,0))</f>
        <v>Jano (viajes)</v>
      </c>
      <c r="C44" s="4">
        <f>LARGE($J$2:$J$8,3)</f>
        <v>0.64600049999999998</v>
      </c>
    </row>
    <row r="45" spans="1:3" ht="15" customHeight="1" x14ac:dyDescent="0.3">
      <c r="A45">
        <v>4</v>
      </c>
      <c r="B45" t="str">
        <f>INDEX($A$2:$A$8,MATCH(LARGE($J$2:$J$8,4),$J$2:$J$8,0))</f>
        <v>Operis (autorellenado)</v>
      </c>
      <c r="C45" s="4">
        <f>LARGE($J$2:$J$8,4)</f>
        <v>0.64333363333333327</v>
      </c>
    </row>
    <row r="46" spans="1:3" ht="15" customHeight="1" x14ac:dyDescent="0.3">
      <c r="A46">
        <v>5</v>
      </c>
      <c r="B46" t="str">
        <f>INDEX($A$2:$A$8,MATCH(LARGE($J$2:$J$8,5),$J$2:$J$8,0))</f>
        <v>Lumen (consultas)</v>
      </c>
      <c r="C46" s="4">
        <f>LARGE($J$2:$J$8,5)</f>
        <v>0.64294137647058824</v>
      </c>
    </row>
    <row r="47" spans="1:3" ht="15" customHeight="1" x14ac:dyDescent="0.3">
      <c r="A47">
        <v>6</v>
      </c>
      <c r="B47" t="str">
        <f>INDEX($A$2:$A$8,MATCH(LARGE($J$2:$J$8,6),$J$2:$J$8,0))</f>
        <v>Vigil (concursos)</v>
      </c>
      <c r="C47" s="4">
        <f>LARGE($J$2:$J$8,6)</f>
        <v>0.63615424615384608</v>
      </c>
    </row>
    <row r="48" spans="1:3" ht="15" customHeight="1" x14ac:dyDescent="0.3">
      <c r="A48">
        <v>7</v>
      </c>
      <c r="B48">
        <f>INDEX($A$2:$A$8,MATCH(LARGE($J$2:$J$8,7),$J$2:$J$8,0))</f>
        <v>0</v>
      </c>
      <c r="C48" s="4">
        <f>LARGE($J$2:$J$8,7)</f>
        <v>5.9999999999999997E-7</v>
      </c>
    </row>
  </sheetData>
  <mergeCells count="4">
    <mergeCell ref="A10:C10"/>
    <mergeCell ref="A20:C20"/>
    <mergeCell ref="A30:C30"/>
    <mergeCell ref="A40:C40"/>
  </mergeCells>
  <pageMargins left="0.3" right="0.3" top="0.4" bottom="0.4" header="0.5" footer="0.5"/>
  <pageSetup paperSize="9"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49"/>
  <sheetViews>
    <sheetView zoomScale="76" zoomScaleNormal="76" workbookViewId="0">
      <selection activeCell="G5" sqref="G5:H6"/>
    </sheetView>
  </sheetViews>
  <sheetFormatPr baseColWidth="10" defaultColWidth="8.6640625" defaultRowHeight="14.4" x14ac:dyDescent="0.3"/>
  <cols>
    <col min="1" max="2" width="12" customWidth="1"/>
    <col min="3" max="3" width="21.88671875" customWidth="1"/>
    <col min="4" max="4" width="12" customWidth="1"/>
    <col min="5" max="5" width="14" customWidth="1"/>
    <col min="6" max="7" width="12" customWidth="1"/>
    <col min="8" max="8" width="14" customWidth="1"/>
  </cols>
  <sheetData>
    <row r="1" spans="1:8" ht="15" customHeight="1" x14ac:dyDescent="0.3">
      <c r="A1" s="19" t="s">
        <v>90</v>
      </c>
      <c r="B1" s="14"/>
      <c r="C1" s="14"/>
      <c r="D1" s="14"/>
      <c r="E1" s="14"/>
      <c r="F1" s="14"/>
      <c r="G1" s="14"/>
      <c r="H1" s="14"/>
    </row>
    <row r="2" spans="1:8" ht="15" customHeight="1" x14ac:dyDescent="0.3">
      <c r="A2" s="14"/>
      <c r="B2" s="14"/>
      <c r="C2" s="14"/>
      <c r="D2" s="14"/>
      <c r="E2" s="14"/>
      <c r="F2" s="14"/>
      <c r="G2" s="14"/>
      <c r="H2" s="14"/>
    </row>
    <row r="4" spans="1:8" ht="15" customHeight="1" x14ac:dyDescent="0.3">
      <c r="A4" s="17" t="s">
        <v>91</v>
      </c>
      <c r="B4" s="18"/>
      <c r="C4" s="17" t="s">
        <v>92</v>
      </c>
      <c r="D4" s="18"/>
      <c r="E4" s="17" t="s">
        <v>93</v>
      </c>
      <c r="F4" s="18"/>
      <c r="G4" s="17" t="s">
        <v>94</v>
      </c>
      <c r="H4" s="18"/>
    </row>
    <row r="5" spans="1:8" ht="15" customHeight="1" x14ac:dyDescent="0.3">
      <c r="A5" s="20" t="e">
        <f>Agentes!O9+#REF!</f>
        <v>#REF!</v>
      </c>
      <c r="B5" s="21"/>
      <c r="C5" s="20" t="e">
        <f>Agentes!P9+#REF!</f>
        <v>#REF!</v>
      </c>
      <c r="D5" s="21"/>
      <c r="E5" s="26">
        <f>COUNTA(Agentes!A2:A8)</f>
        <v>6</v>
      </c>
      <c r="F5" s="21"/>
      <c r="G5" s="20">
        <f>Agentes!O9/COUNTA(Agentes!A2:A8)</f>
        <v>1.11612</v>
      </c>
      <c r="H5" s="21"/>
    </row>
    <row r="6" spans="1:8" ht="15" customHeight="1" x14ac:dyDescent="0.3">
      <c r="A6" s="22"/>
      <c r="B6" s="23"/>
      <c r="C6" s="22"/>
      <c r="D6" s="23"/>
      <c r="E6" s="22"/>
      <c r="F6" s="23"/>
      <c r="G6" s="22"/>
      <c r="H6" s="23"/>
    </row>
    <row r="7" spans="1:8" ht="23.25" customHeight="1" x14ac:dyDescent="0.3">
      <c r="A7" s="17" t="s">
        <v>95</v>
      </c>
      <c r="B7" s="18"/>
      <c r="C7" s="17" t="s">
        <v>96</v>
      </c>
      <c r="D7" s="18"/>
      <c r="E7" s="17" t="s">
        <v>97</v>
      </c>
      <c r="F7" s="18"/>
      <c r="G7" s="17" t="s">
        <v>98</v>
      </c>
      <c r="H7" s="18"/>
    </row>
    <row r="8" spans="1:8" ht="15" customHeight="1" x14ac:dyDescent="0.3">
      <c r="A8" s="24" t="str">
        <f>INDEX(Agentes!A2:A8,MATCH(MAX(Agentes!O2:O8),Agentes!O2:O8,0))</f>
        <v>Lumen (consultas)</v>
      </c>
      <c r="B8" s="21"/>
      <c r="C8" s="24" t="str">
        <f>INDEX(Agentes!A2:A8,MATCH(MIN(Agentes!O2:O8),Agentes!O2:O8,0))</f>
        <v>Vigil (concursos)</v>
      </c>
      <c r="D8" s="21"/>
      <c r="E8" s="20">
        <f>Agentes!O9</f>
        <v>6.69672</v>
      </c>
      <c r="F8" s="21"/>
      <c r="G8" s="20" t="e">
        <f>#REF!</f>
        <v>#REF!</v>
      </c>
      <c r="H8" s="21"/>
    </row>
    <row r="9" spans="1:8" ht="13.2" customHeight="1" x14ac:dyDescent="0.3">
      <c r="A9" s="22"/>
      <c r="B9" s="23"/>
      <c r="C9" s="22"/>
      <c r="D9" s="23"/>
      <c r="E9" s="22"/>
      <c r="F9" s="23"/>
      <c r="G9" s="22"/>
      <c r="H9" s="23"/>
    </row>
    <row r="10" spans="1:8" ht="28.8" customHeight="1" x14ac:dyDescent="0.3">
      <c r="A10" s="17" t="s">
        <v>99</v>
      </c>
      <c r="B10" s="18"/>
      <c r="C10" s="17" t="s">
        <v>100</v>
      </c>
      <c r="D10" s="18"/>
      <c r="E10" s="17" t="s">
        <v>101</v>
      </c>
      <c r="F10" s="18"/>
      <c r="G10" s="17" t="s">
        <v>102</v>
      </c>
      <c r="H10" s="18"/>
    </row>
    <row r="11" spans="1:8" ht="17.25" customHeight="1" x14ac:dyDescent="0.3">
      <c r="A11" s="20" t="e">
        <f>#REF!</f>
        <v>#REF!</v>
      </c>
      <c r="B11" s="18"/>
      <c r="C11" s="20" t="e">
        <f>#REF!</f>
        <v>#REF!</v>
      </c>
      <c r="D11" s="18"/>
      <c r="E11" s="20" t="e">
        <f>Agentes!P9+#REF!+#REF!</f>
        <v>#REF!</v>
      </c>
      <c r="F11" s="18"/>
      <c r="G11" s="20" t="e">
        <f>Agentes!B18+#REF!</f>
        <v>#REF!</v>
      </c>
      <c r="H11" s="18"/>
    </row>
    <row r="46" spans="1:3" ht="15" customHeight="1" x14ac:dyDescent="0.3">
      <c r="A46" s="25" t="s">
        <v>103</v>
      </c>
      <c r="B46" s="14"/>
      <c r="C46" s="14"/>
    </row>
    <row r="47" spans="1:3" ht="15" customHeight="1" x14ac:dyDescent="0.3">
      <c r="A47" s="1" t="s">
        <v>54</v>
      </c>
      <c r="B47" s="1" t="s">
        <v>104</v>
      </c>
      <c r="C47" s="1" t="s">
        <v>105</v>
      </c>
    </row>
    <row r="48" spans="1:3" ht="15" customHeight="1" x14ac:dyDescent="0.3">
      <c r="A48" t="s">
        <v>106</v>
      </c>
      <c r="B48" s="4">
        <f>Agentes!O9</f>
        <v>6.69672</v>
      </c>
      <c r="C48" s="4" t="e">
        <f>#REF!</f>
        <v>#REF!</v>
      </c>
    </row>
    <row r="49" spans="1:3" ht="15" customHeight="1" x14ac:dyDescent="0.3">
      <c r="A49" t="s">
        <v>107</v>
      </c>
      <c r="B49" s="4">
        <f>Agentes!P9</f>
        <v>80.360640000000004</v>
      </c>
      <c r="C49" s="4" t="e">
        <f>#REF!</f>
        <v>#REF!</v>
      </c>
    </row>
  </sheetData>
  <mergeCells count="26">
    <mergeCell ref="A46:C46"/>
    <mergeCell ref="A11:B11"/>
    <mergeCell ref="G11:H11"/>
    <mergeCell ref="A5:B6"/>
    <mergeCell ref="G5:H6"/>
    <mergeCell ref="A8:B9"/>
    <mergeCell ref="G7:H7"/>
    <mergeCell ref="G10:H10"/>
    <mergeCell ref="C11:D11"/>
    <mergeCell ref="E11:F11"/>
    <mergeCell ref="C10:D10"/>
    <mergeCell ref="A7:B7"/>
    <mergeCell ref="E10:F10"/>
    <mergeCell ref="C5:D6"/>
    <mergeCell ref="E5:F6"/>
    <mergeCell ref="E8:F9"/>
    <mergeCell ref="A10:B10"/>
    <mergeCell ref="A1:H2"/>
    <mergeCell ref="G8:H9"/>
    <mergeCell ref="A4:B4"/>
    <mergeCell ref="G4:H4"/>
    <mergeCell ref="C7:D7"/>
    <mergeCell ref="E7:F7"/>
    <mergeCell ref="C4:D4"/>
    <mergeCell ref="C8:D9"/>
    <mergeCell ref="E4:F4"/>
  </mergeCells>
  <pageMargins left="0.3" right="0.3" top="0.4" bottom="0.4" header="0.5" footer="0.5"/>
  <pageSetup paperSize="9" fitToHeight="0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6401-C13E-45DA-A1E5-C03FC3A7DC26}">
  <dimension ref="A1:J16"/>
  <sheetViews>
    <sheetView zoomScale="92" zoomScaleNormal="92" workbookViewId="0">
      <selection activeCell="I2" sqref="I2"/>
    </sheetView>
  </sheetViews>
  <sheetFormatPr baseColWidth="10" defaultColWidth="8.88671875" defaultRowHeight="14.4" x14ac:dyDescent="0.3"/>
  <cols>
    <col min="1" max="1" width="35" customWidth="1"/>
    <col min="2" max="2" width="22" customWidth="1"/>
    <col min="3" max="3" width="18" customWidth="1"/>
    <col min="4" max="4" width="25" customWidth="1"/>
    <col min="5" max="5" width="16" customWidth="1"/>
    <col min="6" max="7" width="22" customWidth="1"/>
    <col min="8" max="8" width="21" customWidth="1"/>
    <col min="9" max="9" width="31" customWidth="1"/>
    <col min="10" max="10" width="29" customWidth="1"/>
  </cols>
  <sheetData>
    <row r="1" spans="1:10" x14ac:dyDescent="0.3">
      <c r="A1" s="12" t="s">
        <v>0</v>
      </c>
      <c r="B1" s="12" t="s">
        <v>109</v>
      </c>
      <c r="C1" s="12" t="s">
        <v>110</v>
      </c>
      <c r="D1" s="12" t="s">
        <v>111</v>
      </c>
      <c r="E1" s="12" t="s">
        <v>4</v>
      </c>
      <c r="F1" s="12" t="s">
        <v>112</v>
      </c>
      <c r="G1" s="12" t="s">
        <v>113</v>
      </c>
      <c r="H1" s="12" t="s">
        <v>114</v>
      </c>
      <c r="I1" s="12" t="s">
        <v>115</v>
      </c>
      <c r="J1" s="12" t="s">
        <v>116</v>
      </c>
    </row>
    <row r="2" spans="1:10" x14ac:dyDescent="0.3">
      <c r="A2" t="s">
        <v>117</v>
      </c>
      <c r="B2">
        <v>8</v>
      </c>
      <c r="C2">
        <v>1</v>
      </c>
      <c r="D2">
        <f t="shared" ref="D2:D7" si="0">B2-C2</f>
        <v>7</v>
      </c>
      <c r="E2">
        <v>1650</v>
      </c>
      <c r="F2">
        <f t="shared" ref="F2:F7" si="1">(D2*E2)/60</f>
        <v>192.5</v>
      </c>
      <c r="G2">
        <f t="shared" ref="G2:G7" si="2">F2*12</f>
        <v>2310</v>
      </c>
      <c r="H2">
        <v>12</v>
      </c>
      <c r="I2">
        <f t="shared" ref="I2:I7" si="3">F2*H2</f>
        <v>2310</v>
      </c>
      <c r="J2">
        <f t="shared" ref="J2:J7" si="4">G2*H2</f>
        <v>27720</v>
      </c>
    </row>
    <row r="3" spans="1:10" x14ac:dyDescent="0.3">
      <c r="A3" t="s">
        <v>18</v>
      </c>
      <c r="B3">
        <v>5</v>
      </c>
      <c r="C3">
        <v>0.5</v>
      </c>
      <c r="D3">
        <f t="shared" si="0"/>
        <v>4.5</v>
      </c>
      <c r="E3">
        <v>600</v>
      </c>
      <c r="F3">
        <f t="shared" si="1"/>
        <v>45</v>
      </c>
      <c r="G3">
        <f t="shared" si="2"/>
        <v>540</v>
      </c>
      <c r="H3">
        <v>20</v>
      </c>
      <c r="I3">
        <f t="shared" si="3"/>
        <v>900</v>
      </c>
      <c r="J3">
        <f t="shared" si="4"/>
        <v>10800</v>
      </c>
    </row>
    <row r="4" spans="1:10" x14ac:dyDescent="0.3">
      <c r="A4" t="s">
        <v>118</v>
      </c>
      <c r="B4">
        <v>6</v>
      </c>
      <c r="C4">
        <v>0.33</v>
      </c>
      <c r="D4">
        <f t="shared" si="0"/>
        <v>5.67</v>
      </c>
      <c r="E4">
        <v>1500</v>
      </c>
      <c r="F4">
        <f t="shared" si="1"/>
        <v>141.75</v>
      </c>
      <c r="G4">
        <f t="shared" si="2"/>
        <v>1701</v>
      </c>
      <c r="H4">
        <v>20</v>
      </c>
      <c r="I4">
        <f t="shared" si="3"/>
        <v>2835</v>
      </c>
      <c r="J4">
        <f t="shared" si="4"/>
        <v>34020</v>
      </c>
    </row>
    <row r="5" spans="1:10" x14ac:dyDescent="0.3">
      <c r="A5" t="s">
        <v>119</v>
      </c>
      <c r="B5">
        <v>15</v>
      </c>
      <c r="C5">
        <v>2</v>
      </c>
      <c r="D5">
        <f t="shared" si="0"/>
        <v>13</v>
      </c>
      <c r="E5">
        <v>300</v>
      </c>
      <c r="F5">
        <f t="shared" si="1"/>
        <v>65</v>
      </c>
      <c r="G5">
        <f t="shared" si="2"/>
        <v>780</v>
      </c>
      <c r="H5">
        <v>20</v>
      </c>
      <c r="I5">
        <f t="shared" si="3"/>
        <v>1300</v>
      </c>
      <c r="J5">
        <f t="shared" si="4"/>
        <v>15600</v>
      </c>
    </row>
    <row r="6" spans="1:10" x14ac:dyDescent="0.3">
      <c r="A6" t="s">
        <v>120</v>
      </c>
      <c r="B6">
        <v>60</v>
      </c>
      <c r="C6">
        <v>5</v>
      </c>
      <c r="D6">
        <f t="shared" si="0"/>
        <v>55</v>
      </c>
      <c r="E6">
        <v>60</v>
      </c>
      <c r="F6">
        <f t="shared" si="1"/>
        <v>55</v>
      </c>
      <c r="G6">
        <f t="shared" si="2"/>
        <v>660</v>
      </c>
      <c r="H6">
        <v>20</v>
      </c>
      <c r="I6">
        <f t="shared" si="3"/>
        <v>1100</v>
      </c>
      <c r="J6">
        <f t="shared" si="4"/>
        <v>13200</v>
      </c>
    </row>
    <row r="7" spans="1:10" x14ac:dyDescent="0.3">
      <c r="A7" t="s">
        <v>121</v>
      </c>
      <c r="B7">
        <v>25</v>
      </c>
      <c r="C7">
        <v>5</v>
      </c>
      <c r="D7">
        <f t="shared" si="0"/>
        <v>20</v>
      </c>
      <c r="E7">
        <v>450</v>
      </c>
      <c r="F7">
        <f t="shared" si="1"/>
        <v>150</v>
      </c>
      <c r="G7">
        <f t="shared" si="2"/>
        <v>1800</v>
      </c>
      <c r="H7">
        <v>20</v>
      </c>
      <c r="I7">
        <f t="shared" si="3"/>
        <v>3000</v>
      </c>
      <c r="J7">
        <f t="shared" si="4"/>
        <v>36000</v>
      </c>
    </row>
    <row r="9" spans="1:10" x14ac:dyDescent="0.3">
      <c r="E9" t="s">
        <v>122</v>
      </c>
      <c r="F9">
        <f>SUM(F2:F7)</f>
        <v>649.25</v>
      </c>
      <c r="G9">
        <f>SUM(G2:G7)</f>
        <v>7791</v>
      </c>
      <c r="I9">
        <f>SUM(I2:I7)</f>
        <v>11445</v>
      </c>
      <c r="J9">
        <f>SUM(J2:J7)</f>
        <v>137340</v>
      </c>
    </row>
    <row r="12" spans="1:10" x14ac:dyDescent="0.3">
      <c r="A12" t="s">
        <v>123</v>
      </c>
    </row>
    <row r="13" spans="1:10" x14ac:dyDescent="0.3">
      <c r="A13" t="s">
        <v>124</v>
      </c>
      <c r="B13">
        <f>F9/160</f>
        <v>4.0578124999999998</v>
      </c>
    </row>
    <row r="14" spans="1:10" x14ac:dyDescent="0.3">
      <c r="A14" t="s">
        <v>125</v>
      </c>
      <c r="B14">
        <v>30000</v>
      </c>
    </row>
    <row r="15" spans="1:10" x14ac:dyDescent="0.3">
      <c r="A15" t="s">
        <v>126</v>
      </c>
      <c r="B15">
        <f>B13*B14</f>
        <v>121734.375</v>
      </c>
    </row>
    <row r="16" spans="1:10" x14ac:dyDescent="0.3">
      <c r="A16" t="s">
        <v>127</v>
      </c>
      <c r="B16">
        <f>MAX(B15-J9,0)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Configuración</vt:lpstr>
      <vt:lpstr>LLMs</vt:lpstr>
      <vt:lpstr>Agentes (2)</vt:lpstr>
      <vt:lpstr>Agentes</vt:lpstr>
      <vt:lpstr>Histórico</vt:lpstr>
      <vt:lpstr>Comparador Agentes</vt:lpstr>
      <vt:lpstr>Dashboard</vt:lpstr>
      <vt:lpstr>ROI_Ahorro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ruiz garcia</cp:lastModifiedBy>
  <cp:revision>3</cp:revision>
  <dcterms:created xsi:type="dcterms:W3CDTF">2026-07-13T10:55:02Z</dcterms:created>
  <dcterms:modified xsi:type="dcterms:W3CDTF">2026-07-15T14:59:04Z</dcterms:modified>
  <dc:language>en-US</dc:language>
</cp:coreProperties>
</file>